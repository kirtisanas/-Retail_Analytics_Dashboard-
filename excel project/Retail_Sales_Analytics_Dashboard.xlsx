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retail analtyics dashboard\excel project\"/>
    </mc:Choice>
  </mc:AlternateContent>
  <bookViews>
    <workbookView xWindow="0" yWindow="0" windowWidth="20490" windowHeight="7500" activeTab="4"/>
  </bookViews>
  <sheets>
    <sheet name="Data" sheetId="1" r:id="rId1"/>
    <sheet name="Sheet1" sheetId="11" r:id="rId2"/>
    <sheet name="Pivot Tables" sheetId="2" r:id="rId3"/>
    <sheet name="Dashboard" sheetId="3" r:id="rId4"/>
    <sheet name="Sheet7" sheetId="9" r:id="rId5"/>
    <sheet name="Sheet8" sheetId="10" r:id="rId6"/>
  </sheets>
  <calcPr calcId="162913"/>
  <pivotCaches>
    <pivotCache cacheId="2" r:id="rId7"/>
  </pivotCaches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</calcChain>
</file>

<file path=xl/sharedStrings.xml><?xml version="1.0" encoding="utf-8"?>
<sst xmlns="http://schemas.openxmlformats.org/spreadsheetml/2006/main" count="15097" uniqueCount="1023">
  <si>
    <t>Order ID</t>
  </si>
  <si>
    <t>Order Date</t>
  </si>
  <si>
    <t>Customer ID</t>
  </si>
  <si>
    <t>Segment</t>
  </si>
  <si>
    <t>Region</t>
  </si>
  <si>
    <t>City</t>
  </si>
  <si>
    <t>Category</t>
  </si>
  <si>
    <t>Product</t>
  </si>
  <si>
    <t>Quantity</t>
  </si>
  <si>
    <t>Sales</t>
  </si>
  <si>
    <t>Profit</t>
  </si>
  <si>
    <t>2025-10-07</t>
  </si>
  <si>
    <t>CUST189</t>
  </si>
  <si>
    <t>Home Office</t>
  </si>
  <si>
    <t>North</t>
  </si>
  <si>
    <t>Delhi</t>
  </si>
  <si>
    <t>Office Supplies</t>
  </si>
  <si>
    <t>Binder</t>
  </si>
  <si>
    <t>2025-11-29</t>
  </si>
  <si>
    <t>CUST818</t>
  </si>
  <si>
    <t>West</t>
  </si>
  <si>
    <t>Mumbai</t>
  </si>
  <si>
    <t>Furniture</t>
  </si>
  <si>
    <t>Chair</t>
  </si>
  <si>
    <t>2025-05-23</t>
  </si>
  <si>
    <t>CUST259</t>
  </si>
  <si>
    <t>Consumer</t>
  </si>
  <si>
    <t>Technology</t>
  </si>
  <si>
    <t>Keyboard</t>
  </si>
  <si>
    <t>2025-01-23</t>
  </si>
  <si>
    <t>CUST847</t>
  </si>
  <si>
    <t>Corporate</t>
  </si>
  <si>
    <t>East</t>
  </si>
  <si>
    <t>Kolkata</t>
  </si>
  <si>
    <t>Sofa</t>
  </si>
  <si>
    <t>2025-04-27</t>
  </si>
  <si>
    <t>CUST891</t>
  </si>
  <si>
    <t>Chandigarh</t>
  </si>
  <si>
    <t>Bookcase</t>
  </si>
  <si>
    <t>2025-07-01</t>
  </si>
  <si>
    <t>CUST314</t>
  </si>
  <si>
    <t>2025-11-24</t>
  </si>
  <si>
    <t>CUST804</t>
  </si>
  <si>
    <t>Pen</t>
  </si>
  <si>
    <t>2025-10-18</t>
  </si>
  <si>
    <t>CUST997</t>
  </si>
  <si>
    <t>South</t>
  </si>
  <si>
    <t>Chennai</t>
  </si>
  <si>
    <t>Table</t>
  </si>
  <si>
    <t>2025-03-13</t>
  </si>
  <si>
    <t>CUST352</t>
  </si>
  <si>
    <t>Storage Box</t>
  </si>
  <si>
    <t>2025-02-16</t>
  </si>
  <si>
    <t>CUST873</t>
  </si>
  <si>
    <t>Bhubaneswar</t>
  </si>
  <si>
    <t>2025-08-28</t>
  </si>
  <si>
    <t>CUST641</t>
  </si>
  <si>
    <t>2025-05-15</t>
  </si>
  <si>
    <t>CUST612</t>
  </si>
  <si>
    <t>2025-09-29</t>
  </si>
  <si>
    <t>CUST100</t>
  </si>
  <si>
    <t>2025-01-30</t>
  </si>
  <si>
    <t>CUST346</t>
  </si>
  <si>
    <t>2025-12-04</t>
  </si>
  <si>
    <t>CUST586</t>
  </si>
  <si>
    <t>2025-06-09</t>
  </si>
  <si>
    <t>CUST508</t>
  </si>
  <si>
    <t>2025-10-11</t>
  </si>
  <si>
    <t>CUST335</t>
  </si>
  <si>
    <t>2025-09-21</t>
  </si>
  <si>
    <t>CUST343</t>
  </si>
  <si>
    <t>Bengaluru</t>
  </si>
  <si>
    <t>2025-02-18</t>
  </si>
  <si>
    <t>CUST199</t>
  </si>
  <si>
    <t>2025-11-27</t>
  </si>
  <si>
    <t>CUST200</t>
  </si>
  <si>
    <t>Pune</t>
  </si>
  <si>
    <t>Monitor</t>
  </si>
  <si>
    <t>CUST573</t>
  </si>
  <si>
    <t>2025-02-17</t>
  </si>
  <si>
    <t>CUST871</t>
  </si>
  <si>
    <t>Paper</t>
  </si>
  <si>
    <t>2025-01-02</t>
  </si>
  <si>
    <t>CUST499</t>
  </si>
  <si>
    <t>2025-10-05</t>
  </si>
  <si>
    <t>CUST162</t>
  </si>
  <si>
    <t>2025-02-05</t>
  </si>
  <si>
    <t>CUST709</t>
  </si>
  <si>
    <t>2025-09-25</t>
  </si>
  <si>
    <t>CUST423</t>
  </si>
  <si>
    <t>2025-02-07</t>
  </si>
  <si>
    <t>CUST109</t>
  </si>
  <si>
    <t>2025-05-06</t>
  </si>
  <si>
    <t>CUST478</t>
  </si>
  <si>
    <t>2025-02-23</t>
  </si>
  <si>
    <t>CUST999</t>
  </si>
  <si>
    <t>2025-12-18</t>
  </si>
  <si>
    <t>CUST749</t>
  </si>
  <si>
    <t>2025-03-08</t>
  </si>
  <si>
    <t>CUST752</t>
  </si>
  <si>
    <t>2025-03-18</t>
  </si>
  <si>
    <t>CUST658</t>
  </si>
  <si>
    <t>2025-01-21</t>
  </si>
  <si>
    <t>CUST466</t>
  </si>
  <si>
    <t>Mouse</t>
  </si>
  <si>
    <t>2025-04-01</t>
  </si>
  <si>
    <t>CUST522</t>
  </si>
  <si>
    <t>2025-01-20</t>
  </si>
  <si>
    <t>CUST979</t>
  </si>
  <si>
    <t>CUST297</t>
  </si>
  <si>
    <t>2025-10-02</t>
  </si>
  <si>
    <t>CUST439</t>
  </si>
  <si>
    <t>2025-06-10</t>
  </si>
  <si>
    <t>CUST546</t>
  </si>
  <si>
    <t>2025-10-03</t>
  </si>
  <si>
    <t>CUST803</t>
  </si>
  <si>
    <t>2025-06-03</t>
  </si>
  <si>
    <t>CUST619</t>
  </si>
  <si>
    <t>Laptop</t>
  </si>
  <si>
    <t>2025-03-31</t>
  </si>
  <si>
    <t>CUST730</t>
  </si>
  <si>
    <t>2025-12-02</t>
  </si>
  <si>
    <t>CUST429</t>
  </si>
  <si>
    <t>CUST186</t>
  </si>
  <si>
    <t>2025-09-01</t>
  </si>
  <si>
    <t>CUST725</t>
  </si>
  <si>
    <t>2025-01-03</t>
  </si>
  <si>
    <t>CUST868</t>
  </si>
  <si>
    <t>2025-03-10</t>
  </si>
  <si>
    <t>CUST920</t>
  </si>
  <si>
    <t>2025-05-13</t>
  </si>
  <si>
    <t>CUST869</t>
  </si>
  <si>
    <t>2025-06-21</t>
  </si>
  <si>
    <t>CUST427</t>
  </si>
  <si>
    <t>2025-07-28</t>
  </si>
  <si>
    <t>CUST438</t>
  </si>
  <si>
    <t>2025-01-11</t>
  </si>
  <si>
    <t>CUST977</t>
  </si>
  <si>
    <t>2025-08-03</t>
  </si>
  <si>
    <t>CUST651</t>
  </si>
  <si>
    <t>2025-07-27</t>
  </si>
  <si>
    <t>CUST841</t>
  </si>
  <si>
    <t>2025-08-08</t>
  </si>
  <si>
    <t>CUST238</t>
  </si>
  <si>
    <t>2025-07-14</t>
  </si>
  <si>
    <t>CUST384</t>
  </si>
  <si>
    <t>2025-11-30</t>
  </si>
  <si>
    <t>CUST141</t>
  </si>
  <si>
    <t>2025-04-22</t>
  </si>
  <si>
    <t>CUST576</t>
  </si>
  <si>
    <t>CUST689</t>
  </si>
  <si>
    <t>2025-12-23</t>
  </si>
  <si>
    <t>2025-08-04</t>
  </si>
  <si>
    <t>CUST942</t>
  </si>
  <si>
    <t>2025-05-19</t>
  </si>
  <si>
    <t>2025-08-19</t>
  </si>
  <si>
    <t>CUST349</t>
  </si>
  <si>
    <t>2025-06-24</t>
  </si>
  <si>
    <t>CUST386</t>
  </si>
  <si>
    <t>2025-05-04</t>
  </si>
  <si>
    <t>CUST807</t>
  </si>
  <si>
    <t>2025-10-25</t>
  </si>
  <si>
    <t>CUST477</t>
  </si>
  <si>
    <t>2025-03-03</t>
  </si>
  <si>
    <t>CUST838</t>
  </si>
  <si>
    <t>2025-09-26</t>
  </si>
  <si>
    <t>CUST711</t>
  </si>
  <si>
    <t>2025-05-21</t>
  </si>
  <si>
    <t>CUST146</t>
  </si>
  <si>
    <t>2025-08-14</t>
  </si>
  <si>
    <t>CUST448</t>
  </si>
  <si>
    <t>2025-01-28</t>
  </si>
  <si>
    <t>CUST255</t>
  </si>
  <si>
    <t>CUST489</t>
  </si>
  <si>
    <t>2025-02-20</t>
  </si>
  <si>
    <t>CUST881</t>
  </si>
  <si>
    <t>2025-07-29</t>
  </si>
  <si>
    <t>CUST561</t>
  </si>
  <si>
    <t>CUST339</t>
  </si>
  <si>
    <t>2025-03-26</t>
  </si>
  <si>
    <t>CUST911</t>
  </si>
  <si>
    <t>2025-09-10</t>
  </si>
  <si>
    <t>CUST548</t>
  </si>
  <si>
    <t>2025-10-22</t>
  </si>
  <si>
    <t>CUST701</t>
  </si>
  <si>
    <t>2025-11-22</t>
  </si>
  <si>
    <t>CUST933</t>
  </si>
  <si>
    <t>2025-07-30</t>
  </si>
  <si>
    <t>CUST810</t>
  </si>
  <si>
    <t>2025-07-26</t>
  </si>
  <si>
    <t>CUST985</t>
  </si>
  <si>
    <t>2025-08-15</t>
  </si>
  <si>
    <t>CUST878</t>
  </si>
  <si>
    <t>2025-11-19</t>
  </si>
  <si>
    <t>CUST723</t>
  </si>
  <si>
    <t>2025-08-25</t>
  </si>
  <si>
    <t>CUST220</t>
  </si>
  <si>
    <t>2025-08-22</t>
  </si>
  <si>
    <t>CUST664</t>
  </si>
  <si>
    <t>2025-09-17</t>
  </si>
  <si>
    <t>CUST373</t>
  </si>
  <si>
    <t>2025-10-06</t>
  </si>
  <si>
    <t>CUST486</t>
  </si>
  <si>
    <t>2025-08-31</t>
  </si>
  <si>
    <t>CUST822</t>
  </si>
  <si>
    <t>CUST202</t>
  </si>
  <si>
    <t>2025-05-16</t>
  </si>
  <si>
    <t>CUST446</t>
  </si>
  <si>
    <t>CUST136</t>
  </si>
  <si>
    <t>2025-11-21</t>
  </si>
  <si>
    <t>CUST820</t>
  </si>
  <si>
    <t>2025-07-11</t>
  </si>
  <si>
    <t>CUST541</t>
  </si>
  <si>
    <t>2025-12-16</t>
  </si>
  <si>
    <t>2025-05-28</t>
  </si>
  <si>
    <t>CUST793</t>
  </si>
  <si>
    <t>2025-06-04</t>
  </si>
  <si>
    <t>CUST303</t>
  </si>
  <si>
    <t>CUST505</t>
  </si>
  <si>
    <t>2025-04-23</t>
  </si>
  <si>
    <t>CUST751</t>
  </si>
  <si>
    <t>2025-03-09</t>
  </si>
  <si>
    <t>CUST192</t>
  </si>
  <si>
    <t>2025-09-14</t>
  </si>
  <si>
    <t>CUST379</t>
  </si>
  <si>
    <t>2025-04-26</t>
  </si>
  <si>
    <t>CUST980</t>
  </si>
  <si>
    <t>2025-12-11</t>
  </si>
  <si>
    <t>CUST368</t>
  </si>
  <si>
    <t>2025-11-09</t>
  </si>
  <si>
    <t>CUST326</t>
  </si>
  <si>
    <t>CUST218</t>
  </si>
  <si>
    <t>2025-12-20</t>
  </si>
  <si>
    <t>CUST479</t>
  </si>
  <si>
    <t>CUST467</t>
  </si>
  <si>
    <t>CUST151</t>
  </si>
  <si>
    <t>2025-04-30</t>
  </si>
  <si>
    <t>CUST436</t>
  </si>
  <si>
    <t>CUST115</t>
  </si>
  <si>
    <t>2025-02-02</t>
  </si>
  <si>
    <t>CUST587</t>
  </si>
  <si>
    <t>CUST569</t>
  </si>
  <si>
    <t>CUST182</t>
  </si>
  <si>
    <t>2025-09-16</t>
  </si>
  <si>
    <t>CUST719</t>
  </si>
  <si>
    <t>2025-08-21</t>
  </si>
  <si>
    <t>2025-02-04</t>
  </si>
  <si>
    <t>CUST193</t>
  </si>
  <si>
    <t>2025-06-18</t>
  </si>
  <si>
    <t>CUST786</t>
  </si>
  <si>
    <t>2025-10-23</t>
  </si>
  <si>
    <t>2025-10-21</t>
  </si>
  <si>
    <t>CUST331</t>
  </si>
  <si>
    <t>2025-01-04</t>
  </si>
  <si>
    <t>CUST285</t>
  </si>
  <si>
    <t>CUST261</t>
  </si>
  <si>
    <t>2025-02-11</t>
  </si>
  <si>
    <t>CUST378</t>
  </si>
  <si>
    <t>2025-08-09</t>
  </si>
  <si>
    <t>CUST213</t>
  </si>
  <si>
    <t>2025-04-19</t>
  </si>
  <si>
    <t>CUST885</t>
  </si>
  <si>
    <t>2025-09-30</t>
  </si>
  <si>
    <t>CUST539</t>
  </si>
  <si>
    <t>2025-11-13</t>
  </si>
  <si>
    <t>CUST571</t>
  </si>
  <si>
    <t>2025-06-08</t>
  </si>
  <si>
    <t>CUST863</t>
  </si>
  <si>
    <t>2025-06-29</t>
  </si>
  <si>
    <t>CUST844</t>
  </si>
  <si>
    <t>CUST177</t>
  </si>
  <si>
    <t>CUST580</t>
  </si>
  <si>
    <t>2025-01-22</t>
  </si>
  <si>
    <t>CUST560</t>
  </si>
  <si>
    <t>2025-06-25</t>
  </si>
  <si>
    <t>CUST831</t>
  </si>
  <si>
    <t>2025-05-25</t>
  </si>
  <si>
    <t>CUST496</t>
  </si>
  <si>
    <t>2025-05-10</t>
  </si>
  <si>
    <t>2025-12-17</t>
  </si>
  <si>
    <t>CUST639</t>
  </si>
  <si>
    <t>2025-09-06</t>
  </si>
  <si>
    <t>CUST296</t>
  </si>
  <si>
    <t>2025-09-27</t>
  </si>
  <si>
    <t>CUST138</t>
  </si>
  <si>
    <t>CUST646</t>
  </si>
  <si>
    <t>2025-09-28</t>
  </si>
  <si>
    <t>CUST528</t>
  </si>
  <si>
    <t>2025-09-22</t>
  </si>
  <si>
    <t>CUST971</t>
  </si>
  <si>
    <t>2025-04-24</t>
  </si>
  <si>
    <t>CUST936</t>
  </si>
  <si>
    <t>CUST329</t>
  </si>
  <si>
    <t>CUST951</t>
  </si>
  <si>
    <t>2025-11-08</t>
  </si>
  <si>
    <t>CUST640</t>
  </si>
  <si>
    <t>2025-08-23</t>
  </si>
  <si>
    <t>CUST164</t>
  </si>
  <si>
    <t>2025-10-20</t>
  </si>
  <si>
    <t>CUST526</t>
  </si>
  <si>
    <t>CUST359</t>
  </si>
  <si>
    <t>2025-06-20</t>
  </si>
  <si>
    <t>CUST236</t>
  </si>
  <si>
    <t>2025-03-11</t>
  </si>
  <si>
    <t>CUST627</t>
  </si>
  <si>
    <t>2025-06-19</t>
  </si>
  <si>
    <t>2025-07-08</t>
  </si>
  <si>
    <t>CUST916</t>
  </si>
  <si>
    <t>2025-05-31</t>
  </si>
  <si>
    <t>CUST428</t>
  </si>
  <si>
    <t>2025-08-16</t>
  </si>
  <si>
    <t>CUST459</t>
  </si>
  <si>
    <t>2025-12-10</t>
  </si>
  <si>
    <t>2025-07-07</t>
  </si>
  <si>
    <t>CUST470</t>
  </si>
  <si>
    <t>CUST475</t>
  </si>
  <si>
    <t>2025-10-15</t>
  </si>
  <si>
    <t>2025-03-30</t>
  </si>
  <si>
    <t>CUST830</t>
  </si>
  <si>
    <t>2025-03-22</t>
  </si>
  <si>
    <t>CUST828</t>
  </si>
  <si>
    <t>CUST126</t>
  </si>
  <si>
    <t>2025-09-03</t>
  </si>
  <si>
    <t>CUST638</t>
  </si>
  <si>
    <t>2025-10-10</t>
  </si>
  <si>
    <t>CUST755</t>
  </si>
  <si>
    <t>2025-12-30</t>
  </si>
  <si>
    <t>CUST330</t>
  </si>
  <si>
    <t>2025-09-15</t>
  </si>
  <si>
    <t>CUST756</t>
  </si>
  <si>
    <t>2025-11-25</t>
  </si>
  <si>
    <t>CUST889</t>
  </si>
  <si>
    <t>CUST594</t>
  </si>
  <si>
    <t>CUST721</t>
  </si>
  <si>
    <t>2025-06-13</t>
  </si>
  <si>
    <t>CUST347</t>
  </si>
  <si>
    <t>2025-11-12</t>
  </si>
  <si>
    <t>2025-09-13</t>
  </si>
  <si>
    <t>CUST415</t>
  </si>
  <si>
    <t>2025-09-11</t>
  </si>
  <si>
    <t>CUST474</t>
  </si>
  <si>
    <t>2025-10-09</t>
  </si>
  <si>
    <t>2025-03-15</t>
  </si>
  <si>
    <t>CUST720</t>
  </si>
  <si>
    <t>2025-10-31</t>
  </si>
  <si>
    <t>CUST444</t>
  </si>
  <si>
    <t>2025-06-07</t>
  </si>
  <si>
    <t>CUST915</t>
  </si>
  <si>
    <t>2025-11-14</t>
  </si>
  <si>
    <t>CUST893</t>
  </si>
  <si>
    <t>CUST308</t>
  </si>
  <si>
    <t>2025-07-12</t>
  </si>
  <si>
    <t>CUST421</t>
  </si>
  <si>
    <t>2025-10-13</t>
  </si>
  <si>
    <t>CUST405</t>
  </si>
  <si>
    <t>CUST394</t>
  </si>
  <si>
    <t>CUST771</t>
  </si>
  <si>
    <t>2025-05-05</t>
  </si>
  <si>
    <t>2025-03-12</t>
  </si>
  <si>
    <t>CUST105</t>
  </si>
  <si>
    <t>2025-05-27</t>
  </si>
  <si>
    <t>CUST761</t>
  </si>
  <si>
    <t>2025-01-19</t>
  </si>
  <si>
    <t>CUST956</t>
  </si>
  <si>
    <t>CUST391</t>
  </si>
  <si>
    <t>CUST763</t>
  </si>
  <si>
    <t>CUST515</t>
  </si>
  <si>
    <t>CUST367</t>
  </si>
  <si>
    <t>2025-07-04</t>
  </si>
  <si>
    <t>CUST809</t>
  </si>
  <si>
    <t>2025-12-27</t>
  </si>
  <si>
    <t>CUST888</t>
  </si>
  <si>
    <t>2025-11-07</t>
  </si>
  <si>
    <t>CUST482</t>
  </si>
  <si>
    <t>2025-02-27</t>
  </si>
  <si>
    <t>CUST163</t>
  </si>
  <si>
    <t>CUST622</t>
  </si>
  <si>
    <t>CUST840</t>
  </si>
  <si>
    <t>2025-01-31</t>
  </si>
  <si>
    <t>CUST170</t>
  </si>
  <si>
    <t>CUST483</t>
  </si>
  <si>
    <t>CUST502</t>
  </si>
  <si>
    <t>CUST943</t>
  </si>
  <si>
    <t>2025-01-17</t>
  </si>
  <si>
    <t>CUST928</t>
  </si>
  <si>
    <t>CUST993</t>
  </si>
  <si>
    <t>CUST615</t>
  </si>
  <si>
    <t>CUST523</t>
  </si>
  <si>
    <t>2025-11-26</t>
  </si>
  <si>
    <t>CUST787</t>
  </si>
  <si>
    <t>CUST407</t>
  </si>
  <si>
    <t>2025-04-15</t>
  </si>
  <si>
    <t>CUST994</t>
  </si>
  <si>
    <t>2025-04-08</t>
  </si>
  <si>
    <t>CUST859</t>
  </si>
  <si>
    <t>CUST577</t>
  </si>
  <si>
    <t>2025-08-02</t>
  </si>
  <si>
    <t>CUST402</t>
  </si>
  <si>
    <t>2025-05-12</t>
  </si>
  <si>
    <t>CUST757</t>
  </si>
  <si>
    <t>2025-12-29</t>
  </si>
  <si>
    <t>CUST254</t>
  </si>
  <si>
    <t>CUST112</t>
  </si>
  <si>
    <t>2025-04-09</t>
  </si>
  <si>
    <t>CUST734</t>
  </si>
  <si>
    <t>2025-12-26</t>
  </si>
  <si>
    <t>CUST275</t>
  </si>
  <si>
    <t>2025-12-21</t>
  </si>
  <si>
    <t>CUST680</t>
  </si>
  <si>
    <t>2025-04-17</t>
  </si>
  <si>
    <t>2025-10-04</t>
  </si>
  <si>
    <t>2025-11-06</t>
  </si>
  <si>
    <t>CUST887</t>
  </si>
  <si>
    <t>2025-08-10</t>
  </si>
  <si>
    <t>CUST290</t>
  </si>
  <si>
    <t>2025-12-31</t>
  </si>
  <si>
    <t>CUST902</t>
  </si>
  <si>
    <t>CUST204</t>
  </si>
  <si>
    <t>2025-11-02</t>
  </si>
  <si>
    <t>CUST712</t>
  </si>
  <si>
    <t>CUST685</t>
  </si>
  <si>
    <t>2025-08-11</t>
  </si>
  <si>
    <t>CUST382</t>
  </si>
  <si>
    <t>CUST300</t>
  </si>
  <si>
    <t>CUST550</t>
  </si>
  <si>
    <t>CUST398</t>
  </si>
  <si>
    <t>2025-10-16</t>
  </si>
  <si>
    <t>CUST304</t>
  </si>
  <si>
    <t>CUST789</t>
  </si>
  <si>
    <t>2025-11-03</t>
  </si>
  <si>
    <t>CUST590</t>
  </si>
  <si>
    <t>2025-02-13</t>
  </si>
  <si>
    <t>CUST211</t>
  </si>
  <si>
    <t>2025-02-24</t>
  </si>
  <si>
    <t>CUST110</t>
  </si>
  <si>
    <t>2025-03-14</t>
  </si>
  <si>
    <t>CUST456</t>
  </si>
  <si>
    <t>CUST168</t>
  </si>
  <si>
    <t>CUST628</t>
  </si>
  <si>
    <t>CUST773</t>
  </si>
  <si>
    <t>2025-04-16</t>
  </si>
  <si>
    <t>CUST385</t>
  </si>
  <si>
    <t>2025-09-08</t>
  </si>
  <si>
    <t>2025-09-19</t>
  </si>
  <si>
    <t>CUST497</t>
  </si>
  <si>
    <t>CUST668</t>
  </si>
  <si>
    <t>2025-01-05</t>
  </si>
  <si>
    <t>CUST596</t>
  </si>
  <si>
    <t>CUST271</t>
  </si>
  <si>
    <t>2025-10-17</t>
  </si>
  <si>
    <t>CUST860</t>
  </si>
  <si>
    <t>2025-08-06</t>
  </si>
  <si>
    <t>2025-03-02</t>
  </si>
  <si>
    <t>CUST894</t>
  </si>
  <si>
    <t>CUST683</t>
  </si>
  <si>
    <t>2025-12-14</t>
  </si>
  <si>
    <t>CUST934</t>
  </si>
  <si>
    <t>2025-06-14</t>
  </si>
  <si>
    <t>CUST948</t>
  </si>
  <si>
    <t>CUST512</t>
  </si>
  <si>
    <t>CUST848</t>
  </si>
  <si>
    <t>2025-06-15</t>
  </si>
  <si>
    <t>2025-11-17</t>
  </si>
  <si>
    <t>2025-12-19</t>
  </si>
  <si>
    <t>CUST235</t>
  </si>
  <si>
    <t>CUST153</t>
  </si>
  <si>
    <t>CUST631</t>
  </si>
  <si>
    <t>2025-02-06</t>
  </si>
  <si>
    <t>CUST334</t>
  </si>
  <si>
    <t>2025-03-19</t>
  </si>
  <si>
    <t>CUST521</t>
  </si>
  <si>
    <t>CUST422</t>
  </si>
  <si>
    <t>CUST127</t>
  </si>
  <si>
    <t>2025-05-03</t>
  </si>
  <si>
    <t>CUST606</t>
  </si>
  <si>
    <t>2025-10-19</t>
  </si>
  <si>
    <t>CUST530</t>
  </si>
  <si>
    <t>2025-07-23</t>
  </si>
  <si>
    <t>CUST618</t>
  </si>
  <si>
    <t>2025-02-12</t>
  </si>
  <si>
    <t>CUST417</t>
  </si>
  <si>
    <t>CUST167</t>
  </si>
  <si>
    <t>2025-01-29</t>
  </si>
  <si>
    <t>CUST416</t>
  </si>
  <si>
    <t>CUST270</t>
  </si>
  <si>
    <t>CUST829</t>
  </si>
  <si>
    <t>2025-05-11</t>
  </si>
  <si>
    <t>2025-07-06</t>
  </si>
  <si>
    <t>CUST492</t>
  </si>
  <si>
    <t>CUST945</t>
  </si>
  <si>
    <t>2025-07-25</t>
  </si>
  <si>
    <t>2025-06-05</t>
  </si>
  <si>
    <t>CUST857</t>
  </si>
  <si>
    <t>CUST106</t>
  </si>
  <si>
    <t>CUST206</t>
  </si>
  <si>
    <t>2025-09-24</t>
  </si>
  <si>
    <t>CUST681</t>
  </si>
  <si>
    <t>2025-06-17</t>
  </si>
  <si>
    <t>CUST425</t>
  </si>
  <si>
    <t>2025-09-20</t>
  </si>
  <si>
    <t>CUST150</t>
  </si>
  <si>
    <t>CUST760</t>
  </si>
  <si>
    <t>CUST225</t>
  </si>
  <si>
    <t>CUST319</t>
  </si>
  <si>
    <t>CUST355</t>
  </si>
  <si>
    <t>2025-08-30</t>
  </si>
  <si>
    <t>CUST642</t>
  </si>
  <si>
    <t>CUST882</t>
  </si>
  <si>
    <t>2025-10-30</t>
  </si>
  <si>
    <t>CUST128</t>
  </si>
  <si>
    <t>CUST338</t>
  </si>
  <si>
    <t>CUST834</t>
  </si>
  <si>
    <t>CUST598</t>
  </si>
  <si>
    <t>CUST401</t>
  </si>
  <si>
    <t>2025-11-10</t>
  </si>
  <si>
    <t>2025-02-15</t>
  </si>
  <si>
    <t>CUST941</t>
  </si>
  <si>
    <t>2025-02-25</t>
  </si>
  <si>
    <t>CUST837</t>
  </si>
  <si>
    <t>CUST484</t>
  </si>
  <si>
    <t>2025-05-14</t>
  </si>
  <si>
    <t>CUST207</t>
  </si>
  <si>
    <t>2025-11-01</t>
  </si>
  <si>
    <t>CUST728</t>
  </si>
  <si>
    <t>CUST519</t>
  </si>
  <si>
    <t>2025-03-20</t>
  </si>
  <si>
    <t>CUST155</t>
  </si>
  <si>
    <t>2025-05-30</t>
  </si>
  <si>
    <t>CUST183</t>
  </si>
  <si>
    <t>2025-07-18</t>
  </si>
  <si>
    <t>CUST289</t>
  </si>
  <si>
    <t>2025-05-18</t>
  </si>
  <si>
    <t>CUST677</t>
  </si>
  <si>
    <t>CUST938</t>
  </si>
  <si>
    <t>2025-01-18</t>
  </si>
  <si>
    <t>CUST614</t>
  </si>
  <si>
    <t>2025-08-05</t>
  </si>
  <si>
    <t>CUST180</t>
  </si>
  <si>
    <t>2025-02-14</t>
  </si>
  <si>
    <t>CUST215</t>
  </si>
  <si>
    <t>CUST452</t>
  </si>
  <si>
    <t>CUST797</t>
  </si>
  <si>
    <t>2025-07-10</t>
  </si>
  <si>
    <t>CUST120</t>
  </si>
  <si>
    <t>CUST892</t>
  </si>
  <si>
    <t>CUST877</t>
  </si>
  <si>
    <t>CUST682</t>
  </si>
  <si>
    <t>2025-04-12</t>
  </si>
  <si>
    <t>CUST380</t>
  </si>
  <si>
    <t>CUST700</t>
  </si>
  <si>
    <t>CUST898</t>
  </si>
  <si>
    <t>CUST758</t>
  </si>
  <si>
    <t>2025-11-16</t>
  </si>
  <si>
    <t>CUST506</t>
  </si>
  <si>
    <t>2025-05-22</t>
  </si>
  <si>
    <t>2025-11-04</t>
  </si>
  <si>
    <t>CUST513</t>
  </si>
  <si>
    <t>CUST854</t>
  </si>
  <si>
    <t>2025-03-29</t>
  </si>
  <si>
    <t>CUST960</t>
  </si>
  <si>
    <t>2025-04-04</t>
  </si>
  <si>
    <t>CUST796</t>
  </si>
  <si>
    <t>2025-10-27</t>
  </si>
  <si>
    <t>2025-07-15</t>
  </si>
  <si>
    <t>CUST246</t>
  </si>
  <si>
    <t>2025-04-18</t>
  </si>
  <si>
    <t>CUST879</t>
  </si>
  <si>
    <t>2025-07-16</t>
  </si>
  <si>
    <t>CUST104</t>
  </si>
  <si>
    <t>2025-05-29</t>
  </si>
  <si>
    <t>CUST566</t>
  </si>
  <si>
    <t>CUST931</t>
  </si>
  <si>
    <t>CUST149</t>
  </si>
  <si>
    <t>2025-12-22</t>
  </si>
  <si>
    <t>CUST802</t>
  </si>
  <si>
    <t>CUST623</t>
  </si>
  <si>
    <t>CUST306</t>
  </si>
  <si>
    <t>2025-05-01</t>
  </si>
  <si>
    <t>CUST102</t>
  </si>
  <si>
    <t>2025-02-21</t>
  </si>
  <si>
    <t>CUST362</t>
  </si>
  <si>
    <t>CUST468</t>
  </si>
  <si>
    <t>CUST779</t>
  </si>
  <si>
    <t>CUST216</t>
  </si>
  <si>
    <t>CUST897</t>
  </si>
  <si>
    <t>2025-12-13</t>
  </si>
  <si>
    <t>2025-09-09</t>
  </si>
  <si>
    <t>CUST558</t>
  </si>
  <si>
    <t>CUST670</t>
  </si>
  <si>
    <t>CUST209</t>
  </si>
  <si>
    <t>CUST875</t>
  </si>
  <si>
    <t>CUST543</t>
  </si>
  <si>
    <t>CUST616</t>
  </si>
  <si>
    <t>2025-07-31</t>
  </si>
  <si>
    <t>CUST716</t>
  </si>
  <si>
    <t>CUST527</t>
  </si>
  <si>
    <t>2025-05-17</t>
  </si>
  <si>
    <t>2025-08-20</t>
  </si>
  <si>
    <t>CUST420</t>
  </si>
  <si>
    <t>CUST748</t>
  </si>
  <si>
    <t>CUST852</t>
  </si>
  <si>
    <t>2025-12-05</t>
  </si>
  <si>
    <t>CUST408</t>
  </si>
  <si>
    <t>2025-03-23</t>
  </si>
  <si>
    <t>CUST525</t>
  </si>
  <si>
    <t>CUST643</t>
  </si>
  <si>
    <t>CUST140</t>
  </si>
  <si>
    <t>CUST626</t>
  </si>
  <si>
    <t>CUST762</t>
  </si>
  <si>
    <t>CUST172</t>
  </si>
  <si>
    <t>CUST221</t>
  </si>
  <si>
    <t>CUST239</t>
  </si>
  <si>
    <t>2025-11-28</t>
  </si>
  <si>
    <t>2025-06-26</t>
  </si>
  <si>
    <t>CUST316</t>
  </si>
  <si>
    <t>CUST465</t>
  </si>
  <si>
    <t>2025-06-06</t>
  </si>
  <si>
    <t>2025-01-10</t>
  </si>
  <si>
    <t>CUST969</t>
  </si>
  <si>
    <t>CUST769</t>
  </si>
  <si>
    <t>2025-03-16</t>
  </si>
  <si>
    <t>CUST853</t>
  </si>
  <si>
    <t>2025-12-09</t>
  </si>
  <si>
    <t>CUST311</t>
  </si>
  <si>
    <t>2025-05-09</t>
  </si>
  <si>
    <t>CUST485</t>
  </si>
  <si>
    <t>CUST269</t>
  </si>
  <si>
    <t>2025-01-12</t>
  </si>
  <si>
    <t>CUST713</t>
  </si>
  <si>
    <t>CUST950</t>
  </si>
  <si>
    <t>CUST946</t>
  </si>
  <si>
    <t>CUST947</t>
  </si>
  <si>
    <t>CUST458</t>
  </si>
  <si>
    <t>CUST310</t>
  </si>
  <si>
    <t>CUST533</t>
  </si>
  <si>
    <t>2025-07-09</t>
  </si>
  <si>
    <t>CUST672</t>
  </si>
  <si>
    <t>2025-04-28</t>
  </si>
  <si>
    <t>CUST557</t>
  </si>
  <si>
    <t>2025-01-27</t>
  </si>
  <si>
    <t>CUST264</t>
  </si>
  <si>
    <t>2025-08-13</t>
  </si>
  <si>
    <t>CUST188</t>
  </si>
  <si>
    <t>CUST363</t>
  </si>
  <si>
    <t>2025-08-24</t>
  </si>
  <si>
    <t>CUST919</t>
  </si>
  <si>
    <t>CUST294</t>
  </si>
  <si>
    <t>CUST464</t>
  </si>
  <si>
    <t>2025-09-04</t>
  </si>
  <si>
    <t>CUST480</t>
  </si>
  <si>
    <t>CUST327</t>
  </si>
  <si>
    <t>CUST203</t>
  </si>
  <si>
    <t>2025-04-05</t>
  </si>
  <si>
    <t>CUST610</t>
  </si>
  <si>
    <t>CUST584</t>
  </si>
  <si>
    <t>CUST148</t>
  </si>
  <si>
    <t>CUST366</t>
  </si>
  <si>
    <t>CUST690</t>
  </si>
  <si>
    <t>2025-11-11</t>
  </si>
  <si>
    <t>CUST393</t>
  </si>
  <si>
    <t>CUST181</t>
  </si>
  <si>
    <t>CUST899</t>
  </si>
  <si>
    <t>2025-12-25</t>
  </si>
  <si>
    <t>CUST867</t>
  </si>
  <si>
    <t>2025-01-14</t>
  </si>
  <si>
    <t>2025-05-07</t>
  </si>
  <si>
    <t>CUST855</t>
  </si>
  <si>
    <t>CUST578</t>
  </si>
  <si>
    <t>2025-03-25</t>
  </si>
  <si>
    <t>CUST832</t>
  </si>
  <si>
    <t>CUST926</t>
  </si>
  <si>
    <t>2025-02-26</t>
  </si>
  <si>
    <t>2025-05-08</t>
  </si>
  <si>
    <t>CUST494</t>
  </si>
  <si>
    <t>2025-12-15</t>
  </si>
  <si>
    <t>CUST419</t>
  </si>
  <si>
    <t>CUST984</t>
  </si>
  <si>
    <t>2025-07-22</t>
  </si>
  <si>
    <t>CUST908</t>
  </si>
  <si>
    <t>CUST424</t>
  </si>
  <si>
    <t>CUST381</t>
  </si>
  <si>
    <t>2025-01-01</t>
  </si>
  <si>
    <t>2025-02-10</t>
  </si>
  <si>
    <t>CUST579</t>
  </si>
  <si>
    <t>CUST781</t>
  </si>
  <si>
    <t>2025-06-30</t>
  </si>
  <si>
    <t>CUST862</t>
  </si>
  <si>
    <t>2025-09-23</t>
  </si>
  <si>
    <t>CUST666</t>
  </si>
  <si>
    <t>CUST599</t>
  </si>
  <si>
    <t>CUST434</t>
  </si>
  <si>
    <t>CUST396</t>
  </si>
  <si>
    <t>CUST731</t>
  </si>
  <si>
    <t>CUST582</t>
  </si>
  <si>
    <t>2025-11-15</t>
  </si>
  <si>
    <t>CUST377</t>
  </si>
  <si>
    <t>CUST119</t>
  </si>
  <si>
    <t>CUST460</t>
  </si>
  <si>
    <t>2025-01-16</t>
  </si>
  <si>
    <t>CUST234</t>
  </si>
  <si>
    <t>CUST678</t>
  </si>
  <si>
    <t>2025-01-08</t>
  </si>
  <si>
    <t>CUST376</t>
  </si>
  <si>
    <t>2025-07-21</t>
  </si>
  <si>
    <t>CUST726</t>
  </si>
  <si>
    <t>CUST671</t>
  </si>
  <si>
    <t>2025-03-27</t>
  </si>
  <si>
    <t>CUST532</t>
  </si>
  <si>
    <t>CUST659</t>
  </si>
  <si>
    <t>2025-04-14</t>
  </si>
  <si>
    <t>CUST565</t>
  </si>
  <si>
    <t>CUST636</t>
  </si>
  <si>
    <t>CUST983</t>
  </si>
  <si>
    <t>CUST741</t>
  </si>
  <si>
    <t>CUST722</t>
  </si>
  <si>
    <t>CUST660</t>
  </si>
  <si>
    <t>2025-12-08</t>
  </si>
  <si>
    <t>CUST691</t>
  </si>
  <si>
    <t>CUST776</t>
  </si>
  <si>
    <t>CUST939</t>
  </si>
  <si>
    <t>CUST637</t>
  </si>
  <si>
    <t>2025-12-28</t>
  </si>
  <si>
    <t>2025-09-12</t>
  </si>
  <si>
    <t>CUST604</t>
  </si>
  <si>
    <t>CUST918</t>
  </si>
  <si>
    <t>CUST806</t>
  </si>
  <si>
    <t>CUST955</t>
  </si>
  <si>
    <t>CUST321</t>
  </si>
  <si>
    <t>2025-01-13</t>
  </si>
  <si>
    <t>CUST792</t>
  </si>
  <si>
    <t>CUST992</t>
  </si>
  <si>
    <t>2025-02-28</t>
  </si>
  <si>
    <t>CUST350</t>
  </si>
  <si>
    <t>2025-01-26</t>
  </si>
  <si>
    <t>CUST208</t>
  </si>
  <si>
    <t>CUST816</t>
  </si>
  <si>
    <t>CUST195</t>
  </si>
  <si>
    <t>CUST364</t>
  </si>
  <si>
    <t>2025-10-12</t>
  </si>
  <si>
    <t>CUST765</t>
  </si>
  <si>
    <t>CUST687</t>
  </si>
  <si>
    <t>CUST801</t>
  </si>
  <si>
    <t>CUST929</t>
  </si>
  <si>
    <t>2025-06-12</t>
  </si>
  <si>
    <t>CUST406</t>
  </si>
  <si>
    <t>2025-03-07</t>
  </si>
  <si>
    <t>CUST972</t>
  </si>
  <si>
    <t>CUST986</t>
  </si>
  <si>
    <t>CUST778</t>
  </si>
  <si>
    <t>CUST228</t>
  </si>
  <si>
    <t>CUST463</t>
  </si>
  <si>
    <t>CUST179</t>
  </si>
  <si>
    <t>CUST531</t>
  </si>
  <si>
    <t>CUST692</t>
  </si>
  <si>
    <t>CUST358</t>
  </si>
  <si>
    <t>CUST248</t>
  </si>
  <si>
    <t>CUST851</t>
  </si>
  <si>
    <t>2025-05-26</t>
  </si>
  <si>
    <t>CUST357</t>
  </si>
  <si>
    <t>CUST753</t>
  </si>
  <si>
    <t>2025-08-07</t>
  </si>
  <si>
    <t>CUST808</t>
  </si>
  <si>
    <t>CUST653</t>
  </si>
  <si>
    <t>2025-08-17</t>
  </si>
  <si>
    <t>CUST224</t>
  </si>
  <si>
    <t>CUST647</t>
  </si>
  <si>
    <t>CUST812</t>
  </si>
  <si>
    <t>CUST344</t>
  </si>
  <si>
    <t>2025-01-09</t>
  </si>
  <si>
    <t>CUST137</t>
  </si>
  <si>
    <t>CUST794</t>
  </si>
  <si>
    <t>CUST165</t>
  </si>
  <si>
    <t>CUST511</t>
  </si>
  <si>
    <t>2025-11-20</t>
  </si>
  <si>
    <t>CUST727</t>
  </si>
  <si>
    <t>CUST390</t>
  </si>
  <si>
    <t>CUST609</t>
  </si>
  <si>
    <t>CUST144</t>
  </si>
  <si>
    <t>CUST706</t>
  </si>
  <si>
    <t>CUST990</t>
  </si>
  <si>
    <t>CUST132</t>
  </si>
  <si>
    <t>2025-06-01</t>
  </si>
  <si>
    <t>CUST718</t>
  </si>
  <si>
    <t>2025-07-03</t>
  </si>
  <si>
    <t>2025-07-17</t>
  </si>
  <si>
    <t>CUST453</t>
  </si>
  <si>
    <t>2025-02-03</t>
  </si>
  <si>
    <t>CUST292</t>
  </si>
  <si>
    <t>CUST813</t>
  </si>
  <si>
    <t>CUST455</t>
  </si>
  <si>
    <t>CUST568</t>
  </si>
  <si>
    <t>2025-01-25</t>
  </si>
  <si>
    <t>CUST251</t>
  </si>
  <si>
    <t>CUST913</t>
  </si>
  <si>
    <t>CUST675</t>
  </si>
  <si>
    <t>2025-03-04</t>
  </si>
  <si>
    <t>CUST125</t>
  </si>
  <si>
    <t>CUST242</t>
  </si>
  <si>
    <t>CUST299</t>
  </si>
  <si>
    <t>CUST624</t>
  </si>
  <si>
    <t>CUST481</t>
  </si>
  <si>
    <t>CUST410</t>
  </si>
  <si>
    <t>CUST669</t>
  </si>
  <si>
    <t>CUST411</t>
  </si>
  <si>
    <t>CUST227</t>
  </si>
  <si>
    <t>CUST154</t>
  </si>
  <si>
    <t>CUST298</t>
  </si>
  <si>
    <t>CUST231</t>
  </si>
  <si>
    <t>2025-08-29</t>
  </si>
  <si>
    <t>2025-04-13</t>
  </si>
  <si>
    <t>CUST632</t>
  </si>
  <si>
    <t>CUST714</t>
  </si>
  <si>
    <t>CUST795</t>
  </si>
  <si>
    <t>CUST201</t>
  </si>
  <si>
    <t>CUST738</t>
  </si>
  <si>
    <t>CUST133</t>
  </si>
  <si>
    <t>CUST791</t>
  </si>
  <si>
    <t>2025-10-26</t>
  </si>
  <si>
    <t>CUST353</t>
  </si>
  <si>
    <t>2025-07-19</t>
  </si>
  <si>
    <t>CUST430</t>
  </si>
  <si>
    <t>CUST729</t>
  </si>
  <si>
    <t>CUST404</t>
  </si>
  <si>
    <t>CUST374</t>
  </si>
  <si>
    <t>CUST964</t>
  </si>
  <si>
    <t>CUST715</t>
  </si>
  <si>
    <t>CUST673</t>
  </si>
  <si>
    <t>CUST663</t>
  </si>
  <si>
    <t>CUST472</t>
  </si>
  <si>
    <t>CUST780</t>
  </si>
  <si>
    <t>CUST925</t>
  </si>
  <si>
    <t>CUST903</t>
  </si>
  <si>
    <t>2025-12-06</t>
  </si>
  <si>
    <t>CUST491</t>
  </si>
  <si>
    <t>CUST129</t>
  </si>
  <si>
    <t>2025-01-06</t>
  </si>
  <si>
    <t>CUST826</t>
  </si>
  <si>
    <t>2025-10-14</t>
  </si>
  <si>
    <t>CUST142</t>
  </si>
  <si>
    <t>CUST540</t>
  </si>
  <si>
    <t>CUST966</t>
  </si>
  <si>
    <t>2025-09-18</t>
  </si>
  <si>
    <t>CUST775</t>
  </si>
  <si>
    <t>2025-06-16</t>
  </si>
  <si>
    <t>CUST849</t>
  </si>
  <si>
    <t>2025-11-05</t>
  </si>
  <si>
    <t>CUST490</t>
  </si>
  <si>
    <t>2025-08-26</t>
  </si>
  <si>
    <t>CUST252</t>
  </si>
  <si>
    <t>CUST210</t>
  </si>
  <si>
    <t>2025-10-28</t>
  </si>
  <si>
    <t>2025-12-03</t>
  </si>
  <si>
    <t>CUST214</t>
  </si>
  <si>
    <t>CUST295</t>
  </si>
  <si>
    <t>CUST555</t>
  </si>
  <si>
    <t>CUST108</t>
  </si>
  <si>
    <t>CUST845</t>
  </si>
  <si>
    <t>CUST549</t>
  </si>
  <si>
    <t>2025-08-01</t>
  </si>
  <si>
    <t>CUST469</t>
  </si>
  <si>
    <t>2025-06-23</t>
  </si>
  <si>
    <t>CUST746</t>
  </si>
  <si>
    <t>2025-11-18</t>
  </si>
  <si>
    <t>2025-02-01</t>
  </si>
  <si>
    <t>CUST535</t>
  </si>
  <si>
    <t>2025-04-21</t>
  </si>
  <si>
    <t>CUST287</t>
  </si>
  <si>
    <t>CUST563</t>
  </si>
  <si>
    <t>2025-08-18</t>
  </si>
  <si>
    <t>CUST553</t>
  </si>
  <si>
    <t>CUST733</t>
  </si>
  <si>
    <t>CUST905</t>
  </si>
  <si>
    <t>CUST547</t>
  </si>
  <si>
    <t>2025-03-28</t>
  </si>
  <si>
    <t>CUST392</t>
  </si>
  <si>
    <t>CUST595</t>
  </si>
  <si>
    <t>CUST191</t>
  </si>
  <si>
    <t>CUST450</t>
  </si>
  <si>
    <t>2025-05-24</t>
  </si>
  <si>
    <t>CUST846</t>
  </si>
  <si>
    <t>2025-04-25</t>
  </si>
  <si>
    <t>2025-01-15</t>
  </si>
  <si>
    <t>CUST591</t>
  </si>
  <si>
    <t>CUST968</t>
  </si>
  <si>
    <t>CUST157</t>
  </si>
  <si>
    <t>CUST629</t>
  </si>
  <si>
    <t>2025-03-06</t>
  </si>
  <si>
    <t>CUST630</t>
  </si>
  <si>
    <t>CUST904</t>
  </si>
  <si>
    <t>CUST754</t>
  </si>
  <si>
    <t>CUST447</t>
  </si>
  <si>
    <t>CUST240</t>
  </si>
  <si>
    <t>CUST585</t>
  </si>
  <si>
    <t>CUST697</t>
  </si>
  <si>
    <t>2025-05-20</t>
  </si>
  <si>
    <t>2025-04-11</t>
  </si>
  <si>
    <t>2025-12-01</t>
  </si>
  <si>
    <t>CUST839</t>
  </si>
  <si>
    <t>CUST973</t>
  </si>
  <si>
    <t>CUST257</t>
  </si>
  <si>
    <t>CUST562</t>
  </si>
  <si>
    <t>2025-04-06</t>
  </si>
  <si>
    <t>CUST111</t>
  </si>
  <si>
    <t>CUST962</t>
  </si>
  <si>
    <t>CUST493</t>
  </si>
  <si>
    <t>CUST866</t>
  </si>
  <si>
    <t>CUST961</t>
  </si>
  <si>
    <t>2025-02-09</t>
  </si>
  <si>
    <t>CUST552</t>
  </si>
  <si>
    <t>CUST785</t>
  </si>
  <si>
    <t>CUST821</t>
  </si>
  <si>
    <t>CUST161</t>
  </si>
  <si>
    <t>CUST554</t>
  </si>
  <si>
    <t>CUST724</t>
  </si>
  <si>
    <t>CUST173</t>
  </si>
  <si>
    <t>CUST603</t>
  </si>
  <si>
    <t>CUST139</t>
  </si>
  <si>
    <t>CUST600</t>
  </si>
  <si>
    <t>2025-07-05</t>
  </si>
  <si>
    <t>2025-03-24</t>
  </si>
  <si>
    <t>CUST409</t>
  </si>
  <si>
    <t>CUST375</t>
  </si>
  <si>
    <t>CUST365</t>
  </si>
  <si>
    <t>CUST130</t>
  </si>
  <si>
    <t>2025-07-13</t>
  </si>
  <si>
    <t>2025-06-11</t>
  </si>
  <si>
    <t>CUST135</t>
  </si>
  <si>
    <t>2025-06-28</t>
  </si>
  <si>
    <t>2025-09-05</t>
  </si>
  <si>
    <t>2025-03-17</t>
  </si>
  <si>
    <t>CUST710</t>
  </si>
  <si>
    <t>2025-03-01</t>
  </si>
  <si>
    <t>CUST184</t>
  </si>
  <si>
    <t>CUST688</t>
  </si>
  <si>
    <t>CUST237</t>
  </si>
  <si>
    <t>CUST509</t>
  </si>
  <si>
    <t>CUST471</t>
  </si>
  <si>
    <t>CUST901</t>
  </si>
  <si>
    <t>CUST462</t>
  </si>
  <si>
    <t>CUST965</t>
  </si>
  <si>
    <t>CUST503</t>
  </si>
  <si>
    <t>CUST286</t>
  </si>
  <si>
    <t>2025-07-24</t>
  </si>
  <si>
    <t>CUST613</t>
  </si>
  <si>
    <t>CUST342</t>
  </si>
  <si>
    <t>CUST249</t>
  </si>
  <si>
    <t>2025-04-29</t>
  </si>
  <si>
    <t>CUST583</t>
  </si>
  <si>
    <t>2025-01-07</t>
  </si>
  <si>
    <t>CUST799</t>
  </si>
  <si>
    <t>CUST744</t>
  </si>
  <si>
    <t>CUST245</t>
  </si>
  <si>
    <t>CUST441</t>
  </si>
  <si>
    <t>CUST253</t>
  </si>
  <si>
    <t>CUST917</t>
  </si>
  <si>
    <t>2025-09-02</t>
  </si>
  <si>
    <t>CUST461</t>
  </si>
  <si>
    <t>CUST930</t>
  </si>
  <si>
    <t>CUST348</t>
  </si>
  <si>
    <t>CUST815</t>
  </si>
  <si>
    <t>2025-03-21</t>
  </si>
  <si>
    <t>CUST667</t>
  </si>
  <si>
    <t>2025-04-10</t>
  </si>
  <si>
    <t>CUST798</t>
  </si>
  <si>
    <t>CUST551</t>
  </si>
  <si>
    <t>CUST759</t>
  </si>
  <si>
    <t>CUST886</t>
  </si>
  <si>
    <t>CUST217</t>
  </si>
  <si>
    <t>2025-06-02</t>
  </si>
  <si>
    <t>CUST268</t>
  </si>
  <si>
    <t>CUST498</t>
  </si>
  <si>
    <t>CUST114</t>
  </si>
  <si>
    <t>CUST107</t>
  </si>
  <si>
    <t>CUST443</t>
  </si>
  <si>
    <t>CUST500</t>
  </si>
  <si>
    <t>CUST737</t>
  </si>
  <si>
    <t>CUST322</t>
  </si>
  <si>
    <t>CUST121</t>
  </si>
  <si>
    <t>2025-08-12</t>
  </si>
  <si>
    <t>CUST222</t>
  </si>
  <si>
    <t>CUST777</t>
  </si>
  <si>
    <t>CUST233</t>
  </si>
  <si>
    <t>CUST620</t>
  </si>
  <si>
    <t>Row Labels</t>
  </si>
  <si>
    <t>Grand Total</t>
  </si>
  <si>
    <t>Sum of Sales</t>
  </si>
  <si>
    <t>Sum of Quantity</t>
  </si>
  <si>
    <t>Month</t>
  </si>
  <si>
    <t>Jan</t>
  </si>
  <si>
    <t>Sum of Profit</t>
  </si>
  <si>
    <t>RETAIL SALES ANALYTICS DASHBOARD</t>
  </si>
  <si>
    <t xml:space="preserve">                      </t>
  </si>
  <si>
    <t>Total sales</t>
  </si>
  <si>
    <t>Total profit</t>
  </si>
  <si>
    <t>Total quantity</t>
  </si>
  <si>
    <t>sales</t>
  </si>
  <si>
    <t xml:space="preserve"> RETAIL SALES ANALYTICS DASHBOARD    </t>
  </si>
  <si>
    <t>┌───────────────────────────────────────────────────────────────┐</t>
  </si>
  <si>
    <t>│            RETAIL SALES ANALYTICS DASHBOARD                   │</t>
  </si>
  <si>
    <t>├───────────────────────────────────────────────────────────────┤</t>
  </si>
  <si>
    <t>┌──────────────┐ ┌──────────────┐ ┌──────────────┐</t>
  </si>
  <si>
    <t>│💰 Total Sales│ │📈 Total Profit│ │📦 Total Qty  │</t>
  </si>
  <si>
    <t>│₹24,54,139    │ │₹38,574        │ │4,653         │</t>
  </si>
  <si>
    <t>└──────────────┘ └──────────────┘ └──────────────┘</t>
  </si>
  <si>
    <t>┌──────────────────────────┐ ┌──────────────────────────┐</t>
  </si>
  <si>
    <t>│ Sales by Category        │ │ Sales by Region          │</t>
  </si>
  <si>
    <t>└──────────────────────────┘ └──────────────────────────┘</t>
  </si>
  <si>
    <t>│               Monthly Sales Trend                             │</t>
  </si>
  <si>
    <t>└───────────────────────────────────────────────────────────────┘</t>
  </si>
  <si>
    <t>│ Profit by Category       │ │ Sales by Segment         │</t>
  </si>
  <si>
    <t xml:space="preserve">      Region     Category     Segment</t>
  </si>
  <si>
    <t>Month no</t>
  </si>
  <si>
    <t>Oct</t>
  </si>
  <si>
    <t>Nov</t>
  </si>
  <si>
    <t>May</t>
  </si>
  <si>
    <t>Apr</t>
  </si>
  <si>
    <t>Jul</t>
  </si>
  <si>
    <t>Mar</t>
  </si>
  <si>
    <t>Feb</t>
  </si>
  <si>
    <t>Aug</t>
  </si>
  <si>
    <t>Sep</t>
  </si>
  <si>
    <t>Dec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</si>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</sst>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₹&quot;\ #,##0.00;[Red]&quot;₹&quot;\ \-#,##0.00"/>
    <numFmt numFmtId="164" formatCode="&quot;₹&quot;\ #,##0.0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 applyAlignment="1">
      <alignment horizontal="left"/>
    </xf>
    <xf numFmtId="165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Border="1" applyAlignmen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1" fillId="0" borderId="13" xfId="0" applyFont="1" applyBorder="1"/>
    <xf numFmtId="8" fontId="0" fillId="0" borderId="0" xfId="0" applyNumberFormat="1"/>
    <xf numFmtId="0" fontId="1" fillId="0" borderId="0" xfId="0" applyFont="1" applyBorder="1" applyAlignment="1"/>
    <xf numFmtId="0" fontId="0" fillId="0" borderId="0" xfId="0" applyNumberFormat="1" applyBorder="1" applyAlignment="1"/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5">
    <dxf>
      <numFmt numFmtId="165" formatCode="[$-F800]dddd\,\ mmmm\ dd\,\ yyyy"/>
    </dxf>
    <dxf>
      <numFmt numFmtId="165" formatCode="[$-F800]dddd\,\ mmmm\ dd\,\ yyyy"/>
    </dxf>
    <dxf>
      <numFmt numFmtId="164" formatCode="&quot;₹&quot;\ #,##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Tables'!$J$4:$J$16</c:f>
              <c:strCache>
                <c:ptCount val="12"/>
                <c:pt idx="0">
                  <c:v>Jan</c:v>
                </c:pt>
                <c:pt idx="1">
                  <c:v>Oct</c:v>
                </c:pt>
                <c:pt idx="2">
                  <c:v>Nov</c:v>
                </c:pt>
                <c:pt idx="3">
                  <c:v>May</c:v>
                </c:pt>
                <c:pt idx="4">
                  <c:v>Apr</c:v>
                </c:pt>
                <c:pt idx="5">
                  <c:v>Jul</c:v>
                </c:pt>
                <c:pt idx="6">
                  <c:v>Mar</c:v>
                </c:pt>
                <c:pt idx="7">
                  <c:v>Feb</c:v>
                </c:pt>
                <c:pt idx="8">
                  <c:v>Aug</c:v>
                </c:pt>
                <c:pt idx="9">
                  <c:v>Sep</c:v>
                </c:pt>
                <c:pt idx="10">
                  <c:v>Dec</c:v>
                </c:pt>
                <c:pt idx="11">
                  <c:v>Jun</c:v>
                </c:pt>
              </c:strCache>
            </c:strRef>
          </c:cat>
          <c:val>
            <c:numRef>
              <c:f>'Pivot Tables'!$K$4:$K$16</c:f>
              <c:numCache>
                <c:formatCode>General</c:formatCode>
                <c:ptCount val="12"/>
                <c:pt idx="0">
                  <c:v>200118.93</c:v>
                </c:pt>
                <c:pt idx="1">
                  <c:v>222868.94999999998</c:v>
                </c:pt>
                <c:pt idx="2">
                  <c:v>181474.40999999997</c:v>
                </c:pt>
                <c:pt idx="3">
                  <c:v>164798.15000000002</c:v>
                </c:pt>
                <c:pt idx="4">
                  <c:v>156353.77999999997</c:v>
                </c:pt>
                <c:pt idx="5">
                  <c:v>238005.63999999993</c:v>
                </c:pt>
                <c:pt idx="6">
                  <c:v>217210.06000000006</c:v>
                </c:pt>
                <c:pt idx="7">
                  <c:v>168221.44</c:v>
                </c:pt>
                <c:pt idx="8">
                  <c:v>203872.9</c:v>
                </c:pt>
                <c:pt idx="9">
                  <c:v>227167.86</c:v>
                </c:pt>
                <c:pt idx="10">
                  <c:v>241871.2600000001</c:v>
                </c:pt>
                <c:pt idx="11">
                  <c:v>232176.08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1-4CF1-88E1-5770450C7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31151"/>
        <c:axId val="201534063"/>
      </c:lineChart>
      <c:catAx>
        <c:axId val="20153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063"/>
        <c:crosses val="autoZero"/>
        <c:auto val="1"/>
        <c:lblAlgn val="ctr"/>
        <c:lblOffset val="100"/>
        <c:noMultiLvlLbl val="0"/>
      </c:catAx>
      <c:valAx>
        <c:axId val="2015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31282214460974878"/>
          <c:y val="7.86118318443503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312932306679335"/>
          <c:y val="0.29961844062875093"/>
          <c:w val="0.79418023610872002"/>
          <c:h val="0.52450517826905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Tables'!$E$4:$E$7</c:f>
              <c:numCache>
                <c:formatCode>"₹"\ #,##0.00</c:formatCode>
                <c:ptCount val="3"/>
                <c:pt idx="0">
                  <c:v>837859.6399999999</c:v>
                </c:pt>
                <c:pt idx="1">
                  <c:v>844784.57000000065</c:v>
                </c:pt>
                <c:pt idx="2">
                  <c:v>771495.2500000007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2BF-A138-8595B829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8844751"/>
        <c:axId val="1198835599"/>
      </c:barChart>
      <c:catAx>
        <c:axId val="119884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35599"/>
        <c:crosses val="autoZero"/>
        <c:auto val="1"/>
        <c:lblAlgn val="ctr"/>
        <c:lblOffset val="100"/>
        <c:noMultiLvlLbl val="0"/>
      </c:catAx>
      <c:valAx>
        <c:axId val="11988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84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916431135944471"/>
          <c:y val="6.3255005362703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'Pivot Tables'!$G$4:$G$8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Tables'!$H$4:$H$8</c:f>
              <c:numCache>
                <c:formatCode>"₹"\ #,##0.00</c:formatCode>
                <c:ptCount val="4"/>
                <c:pt idx="0">
                  <c:v>602854.79</c:v>
                </c:pt>
                <c:pt idx="1">
                  <c:v>591258.37</c:v>
                </c:pt>
                <c:pt idx="2">
                  <c:v>645041.72000000032</c:v>
                </c:pt>
                <c:pt idx="3">
                  <c:v>614984.58000000019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1-467C-B5F4-555983CC7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0486575"/>
        <c:axId val="1300489903"/>
      </c:barChart>
      <c:catAx>
        <c:axId val="13004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89903"/>
        <c:crosses val="autoZero"/>
        <c:auto val="1"/>
        <c:lblAlgn val="ctr"/>
        <c:lblOffset val="100"/>
        <c:noMultiLvlLbl val="0"/>
      </c:catAx>
      <c:valAx>
        <c:axId val="13004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4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Tables'!$M$4:$M$7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Tables'!$N$4:$N$7</c:f>
              <c:numCache>
                <c:formatCode>General</c:formatCode>
                <c:ptCount val="3"/>
                <c:pt idx="0">
                  <c:v>131206.34999999998</c:v>
                </c:pt>
                <c:pt idx="1">
                  <c:v>132007.64000000001</c:v>
                </c:pt>
                <c:pt idx="2">
                  <c:v>121955.84999999998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A-42A3-BB86-0BD756CF1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803887"/>
        <c:axId val="1911784751"/>
      </c:barChart>
      <c:catAx>
        <c:axId val="1911803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84751"/>
        <c:crosses val="autoZero"/>
        <c:auto val="1"/>
        <c:lblAlgn val="ctr"/>
        <c:lblOffset val="100"/>
        <c:noMultiLvlLbl val="0"/>
      </c:catAx>
      <c:valAx>
        <c:axId val="19117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80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 Category</a:t>
            </a:r>
            <a:endParaRPr lang="en-US"/>
          </a:p>
        </c:rich>
      </c:tx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317402233619249"/>
          <c:y val="0.40119596161590915"/>
          <c:w val="0.81112195042968227"/>
          <c:h val="0.2956097154522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Tables'!$P$4:$P$7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Tables'!$Q$4:$Q$7</c:f>
              <c:numCache>
                <c:formatCode>General</c:formatCode>
                <c:ptCount val="3"/>
                <c:pt idx="0">
                  <c:v>1588</c:v>
                </c:pt>
                <c:pt idx="1">
                  <c:v>1573</c:v>
                </c:pt>
                <c:pt idx="2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F-43AF-A0E0-8543C424C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791407"/>
        <c:axId val="1911795151"/>
      </c:barChart>
      <c:catAx>
        <c:axId val="191179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95151"/>
        <c:crosses val="autoZero"/>
        <c:auto val="1"/>
        <c:lblAlgn val="ctr"/>
        <c:lblOffset val="100"/>
        <c:noMultiLvlLbl val="0"/>
      </c:catAx>
      <c:valAx>
        <c:axId val="19117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9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>
        <c:manualLayout>
          <c:xMode val="edge"/>
          <c:yMode val="edge"/>
          <c:x val="0.3412119640209888"/>
          <c:y val="7.78681308242171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70648667210101"/>
          <c:y val="0.21707193297838484"/>
          <c:w val="0.40469203493263706"/>
          <c:h val="0.68350585607964132"/>
        </c:manualLayout>
      </c:layout>
      <c:pieChart>
        <c:varyColors val="1"/>
        <c:ser>
          <c:idx val="0"/>
          <c:order val="0"/>
          <c:tx>
            <c:strRef>
              <c:f>'Pivot Tables'!$T$3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3-4151-846C-A898A00AB3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3-4151-846C-A898A00AB3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83-4151-846C-A898A00AB374}"/>
              </c:ext>
            </c:extLst>
          </c:dPt>
          <c:dLbls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Tables'!$S$4:$S$7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Tables'!$T$4:$T$7</c:f>
              <c:numCache>
                <c:formatCode>General</c:formatCode>
                <c:ptCount val="3"/>
                <c:pt idx="0">
                  <c:v>824251.90000000037</c:v>
                </c:pt>
                <c:pt idx="1">
                  <c:v>812711.23000000045</c:v>
                </c:pt>
                <c:pt idx="2">
                  <c:v>817176.33000000042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83-4151-846C-A898A00AB3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20290842829394"/>
          <c:y val="0.25735909084305797"/>
          <c:w val="0.17461339954040581"/>
          <c:h val="0.56081159606768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[Retail_Sales_Analytics_Dashboard.xlsx]Pivot 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Tables'!$J$4:$J$16</c:f>
              <c:strCache>
                <c:ptCount val="12"/>
                <c:pt idx="0">
                  <c:v>Jan</c:v>
                </c:pt>
                <c:pt idx="1">
                  <c:v>Oct</c:v>
                </c:pt>
                <c:pt idx="2">
                  <c:v>Nov</c:v>
                </c:pt>
                <c:pt idx="3">
                  <c:v>May</c:v>
                </c:pt>
                <c:pt idx="4">
                  <c:v>Apr</c:v>
                </c:pt>
                <c:pt idx="5">
                  <c:v>Jul</c:v>
                </c:pt>
                <c:pt idx="6">
                  <c:v>Mar</c:v>
                </c:pt>
                <c:pt idx="7">
                  <c:v>Feb</c:v>
                </c:pt>
                <c:pt idx="8">
                  <c:v>Aug</c:v>
                </c:pt>
                <c:pt idx="9">
                  <c:v>Sep</c:v>
                </c:pt>
                <c:pt idx="10">
                  <c:v>Dec</c:v>
                </c:pt>
                <c:pt idx="11">
                  <c:v>Jun</c:v>
                </c:pt>
              </c:strCache>
            </c:strRef>
          </c:cat>
          <c:val>
            <c:numRef>
              <c:f>'Pivot Tables'!$K$4:$K$16</c:f>
              <c:numCache>
                <c:formatCode>General</c:formatCode>
                <c:ptCount val="12"/>
                <c:pt idx="0">
                  <c:v>200118.93</c:v>
                </c:pt>
                <c:pt idx="1">
                  <c:v>222868.94999999998</c:v>
                </c:pt>
                <c:pt idx="2">
                  <c:v>181474.40999999997</c:v>
                </c:pt>
                <c:pt idx="3">
                  <c:v>164798.15000000002</c:v>
                </c:pt>
                <c:pt idx="4">
                  <c:v>156353.77999999997</c:v>
                </c:pt>
                <c:pt idx="5">
                  <c:v>238005.63999999993</c:v>
                </c:pt>
                <c:pt idx="6">
                  <c:v>217210.06000000006</c:v>
                </c:pt>
                <c:pt idx="7">
                  <c:v>168221.44</c:v>
                </c:pt>
                <c:pt idx="8">
                  <c:v>203872.9</c:v>
                </c:pt>
                <c:pt idx="9">
                  <c:v>227167.86</c:v>
                </c:pt>
                <c:pt idx="10">
                  <c:v>241871.2600000001</c:v>
                </c:pt>
                <c:pt idx="11">
                  <c:v>232176.08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70-4E0C-B4FE-27A9FE14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531151"/>
        <c:axId val="201534063"/>
      </c:lineChart>
      <c:catAx>
        <c:axId val="20153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4063"/>
        <c:crosses val="autoZero"/>
        <c:auto val="1"/>
        <c:lblAlgn val="ctr"/>
        <c:lblOffset val="100"/>
        <c:noMultiLvlLbl val="0"/>
      </c:catAx>
      <c:valAx>
        <c:axId val="2015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4.xml"/><Relationship Id="rId7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38100</xdr:rowOff>
    </xdr:from>
    <xdr:to>
      <xdr:col>6</xdr:col>
      <xdr:colOff>266700</xdr:colOff>
      <xdr:row>19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552450</xdr:colOff>
      <xdr:row>2</xdr:row>
      <xdr:rowOff>95250</xdr:rowOff>
    </xdr:from>
    <xdr:ext cx="184731" cy="264560"/>
    <xdr:sp macro="" textlink="">
      <xdr:nvSpPr>
        <xdr:cNvPr id="2" name="TextBox 1"/>
        <xdr:cNvSpPr txBox="1"/>
      </xdr:nvSpPr>
      <xdr:spPr>
        <a:xfrm>
          <a:off x="4819650" y="47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</xdr:col>
      <xdr:colOff>92869</xdr:colOff>
      <xdr:row>3</xdr:row>
      <xdr:rowOff>40481</xdr:rowOff>
    </xdr:from>
    <xdr:to>
      <xdr:col>4</xdr:col>
      <xdr:colOff>595313</xdr:colOff>
      <xdr:row>7</xdr:row>
      <xdr:rowOff>11906</xdr:rowOff>
    </xdr:to>
    <xdr:sp macro="" textlink="">
      <xdr:nvSpPr>
        <xdr:cNvPr id="3" name="Rectangle 2"/>
        <xdr:cNvSpPr/>
      </xdr:nvSpPr>
      <xdr:spPr>
        <a:xfrm>
          <a:off x="1312069" y="745331"/>
          <a:ext cx="1721644" cy="7334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oneCellAnchor>
    <xdr:from>
      <xdr:col>6</xdr:col>
      <xdr:colOff>371475</xdr:colOff>
      <xdr:row>4</xdr:row>
      <xdr:rowOff>152400</xdr:rowOff>
    </xdr:from>
    <xdr:ext cx="184731" cy="264560"/>
    <xdr:sp macro="" textlink="">
      <xdr:nvSpPr>
        <xdr:cNvPr id="5" name="TextBox 4"/>
        <xdr:cNvSpPr txBox="1"/>
      </xdr:nvSpPr>
      <xdr:spPr>
        <a:xfrm>
          <a:off x="4029075" y="104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7</xdr:col>
      <xdr:colOff>471489</xdr:colOff>
      <xdr:row>3</xdr:row>
      <xdr:rowOff>19050</xdr:rowOff>
    </xdr:from>
    <xdr:to>
      <xdr:col>11</xdr:col>
      <xdr:colOff>4764</xdr:colOff>
      <xdr:row>7</xdr:row>
      <xdr:rowOff>38099</xdr:rowOff>
    </xdr:to>
    <xdr:sp macro="" textlink="">
      <xdr:nvSpPr>
        <xdr:cNvPr id="8" name="Rectangle 7"/>
        <xdr:cNvSpPr/>
      </xdr:nvSpPr>
      <xdr:spPr>
        <a:xfrm>
          <a:off x="4738689" y="723900"/>
          <a:ext cx="1971675" cy="78104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490537</xdr:colOff>
      <xdr:row>3</xdr:row>
      <xdr:rowOff>0</xdr:rowOff>
    </xdr:from>
    <xdr:to>
      <xdr:col>16</xdr:col>
      <xdr:colOff>471487</xdr:colOff>
      <xdr:row>7</xdr:row>
      <xdr:rowOff>47625</xdr:rowOff>
    </xdr:to>
    <xdr:sp macro="" textlink="">
      <xdr:nvSpPr>
        <xdr:cNvPr id="10" name="Rectangle 9"/>
        <xdr:cNvSpPr/>
      </xdr:nvSpPr>
      <xdr:spPr>
        <a:xfrm>
          <a:off x="8415337" y="704850"/>
          <a:ext cx="1809750" cy="8096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457200</xdr:colOff>
      <xdr:row>12</xdr:row>
      <xdr:rowOff>266700</xdr:rowOff>
    </xdr:from>
    <xdr:ext cx="987578" cy="590550"/>
    <xdr:sp macro="" textlink="">
      <xdr:nvSpPr>
        <xdr:cNvPr id="12" name="TextBox 11"/>
        <xdr:cNvSpPr txBox="1"/>
      </xdr:nvSpPr>
      <xdr:spPr>
        <a:xfrm>
          <a:off x="5943600" y="2686050"/>
          <a:ext cx="987578" cy="590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19050</xdr:colOff>
      <xdr:row>7</xdr:row>
      <xdr:rowOff>33617</xdr:rowOff>
    </xdr:from>
    <xdr:to>
      <xdr:col>7</xdr:col>
      <xdr:colOff>538842</xdr:colOff>
      <xdr:row>16</xdr:row>
      <xdr:rowOff>6803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552450</xdr:colOff>
      <xdr:row>7</xdr:row>
      <xdr:rowOff>47626</xdr:rowOff>
    </xdr:from>
    <xdr:to>
      <xdr:col>12</xdr:col>
      <xdr:colOff>504825</xdr:colOff>
      <xdr:row>16</xdr:row>
      <xdr:rowOff>13607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514351</xdr:colOff>
      <xdr:row>7</xdr:row>
      <xdr:rowOff>57151</xdr:rowOff>
    </xdr:from>
    <xdr:to>
      <xdr:col>17</xdr:col>
      <xdr:colOff>581025</xdr:colOff>
      <xdr:row>16</xdr:row>
      <xdr:rowOff>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600075</xdr:colOff>
      <xdr:row>16</xdr:row>
      <xdr:rowOff>19050</xdr:rowOff>
    </xdr:from>
    <xdr:to>
      <xdr:col>17</xdr:col>
      <xdr:colOff>590550</xdr:colOff>
      <xdr:row>24</xdr:row>
      <xdr:rowOff>190500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59530</xdr:colOff>
      <xdr:row>16</xdr:row>
      <xdr:rowOff>19050</xdr:rowOff>
    </xdr:from>
    <xdr:to>
      <xdr:col>12</xdr:col>
      <xdr:colOff>595311</xdr:colOff>
      <xdr:row>24</xdr:row>
      <xdr:rowOff>178593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21</xdr:col>
      <xdr:colOff>156385</xdr:colOff>
      <xdr:row>15</xdr:row>
      <xdr:rowOff>127130</xdr:rowOff>
    </xdr:from>
    <xdr:ext cx="1677177" cy="280205"/>
    <xdr:sp macro="" textlink="">
      <xdr:nvSpPr>
        <xdr:cNvPr id="20" name="TextBox 19"/>
        <xdr:cNvSpPr txBox="1"/>
      </xdr:nvSpPr>
      <xdr:spPr>
        <a:xfrm>
          <a:off x="12907979" y="3258474"/>
          <a:ext cx="167717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lang="en-IN" sz="1200" b="1"/>
        </a:p>
      </xdr:txBody>
    </xdr:sp>
    <xdr:clientData/>
  </xdr:oneCellAnchor>
  <xdr:twoCellAnchor editAs="oneCell">
    <xdr:from>
      <xdr:col>2</xdr:col>
      <xdr:colOff>102392</xdr:colOff>
      <xdr:row>3</xdr:row>
      <xdr:rowOff>66675</xdr:rowOff>
    </xdr:from>
    <xdr:to>
      <xdr:col>4</xdr:col>
      <xdr:colOff>571499</xdr:colOff>
      <xdr:row>7</xdr:row>
      <xdr:rowOff>5776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1592" y="771525"/>
          <a:ext cx="1688307" cy="701101"/>
        </a:xfrm>
        <a:prstGeom prst="rect">
          <a:avLst/>
        </a:prstGeom>
      </xdr:spPr>
    </xdr:pic>
    <xdr:clientData/>
  </xdr:twoCellAnchor>
  <xdr:twoCellAnchor editAs="oneCell">
    <xdr:from>
      <xdr:col>7</xdr:col>
      <xdr:colOff>547689</xdr:colOff>
      <xdr:row>3</xdr:row>
      <xdr:rowOff>83346</xdr:rowOff>
    </xdr:from>
    <xdr:to>
      <xdr:col>11</xdr:col>
      <xdr:colOff>19050</xdr:colOff>
      <xdr:row>7</xdr:row>
      <xdr:rowOff>9526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4889" y="788196"/>
          <a:ext cx="1909761" cy="688180"/>
        </a:xfrm>
        <a:prstGeom prst="rect">
          <a:avLst/>
        </a:prstGeom>
      </xdr:spPr>
    </xdr:pic>
    <xdr:clientData/>
  </xdr:twoCellAnchor>
  <xdr:twoCellAnchor editAs="oneCell">
    <xdr:from>
      <xdr:col>13</xdr:col>
      <xdr:colOff>495300</xdr:colOff>
      <xdr:row>3</xdr:row>
      <xdr:rowOff>59531</xdr:rowOff>
    </xdr:from>
    <xdr:to>
      <xdr:col>16</xdr:col>
      <xdr:colOff>476249</xdr:colOff>
      <xdr:row>7</xdr:row>
      <xdr:rowOff>57150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20100" y="764381"/>
          <a:ext cx="1809749" cy="759619"/>
        </a:xfrm>
        <a:prstGeom prst="rect">
          <a:avLst/>
        </a:prstGeom>
      </xdr:spPr>
    </xdr:pic>
    <xdr:clientData/>
  </xdr:twoCellAnchor>
  <xdr:oneCellAnchor>
    <xdr:from>
      <xdr:col>21</xdr:col>
      <xdr:colOff>345281</xdr:colOff>
      <xdr:row>2</xdr:row>
      <xdr:rowOff>23812</xdr:rowOff>
    </xdr:from>
    <xdr:ext cx="184731" cy="264560"/>
    <xdr:sp macro="" textlink="">
      <xdr:nvSpPr>
        <xdr:cNvPr id="25" name="TextBox 24"/>
        <xdr:cNvSpPr txBox="1"/>
      </xdr:nvSpPr>
      <xdr:spPr>
        <a:xfrm>
          <a:off x="13096875" y="53578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</xdr:col>
      <xdr:colOff>9524</xdr:colOff>
      <xdr:row>16</xdr:row>
      <xdr:rowOff>23813</xdr:rowOff>
    </xdr:from>
    <xdr:to>
      <xdr:col>7</xdr:col>
      <xdr:colOff>57149</xdr:colOff>
      <xdr:row>24</xdr:row>
      <xdr:rowOff>190500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21.793169791665" createdVersion="6" refreshedVersion="6" minRefreshableVersion="3" recordCount="1000">
  <cacheSource type="worksheet">
    <worksheetSource name="Table1"/>
  </cacheSource>
  <cacheFields count="14">
    <cacheField name="Order ID" numFmtId="0">
      <sharedItems containsSemiMixedTypes="0" containsString="0" containsNumber="1" containsInteger="1" minValue="10001" maxValue="11000"/>
    </cacheField>
    <cacheField name="Month" numFmtId="0">
      <sharedItems count="12">
        <s v="Oct"/>
        <s v="Nov"/>
        <s v="May"/>
        <s v="Jan"/>
        <s v="Apr"/>
        <s v="Jul"/>
        <s v="Mar"/>
        <s v="Feb"/>
        <s v="Aug"/>
        <s v="Sep"/>
        <s v="Dec"/>
        <s v="Jun"/>
      </sharedItems>
    </cacheField>
    <cacheField name="Month no" numFmtId="0">
      <sharedItems containsSemiMixedTypes="0" containsString="0" containsNumber="1" containsInteger="1" minValue="1" maxValue="12"/>
    </cacheField>
    <cacheField name="Order Date" numFmtId="0">
      <sharedItems count="341">
        <s v="2025-10-07"/>
        <s v="2025-11-29"/>
        <s v="2025-05-23"/>
        <s v="2025-01-23"/>
        <s v="2025-04-27"/>
        <s v="2025-07-01"/>
        <s v="2025-11-24"/>
        <s v="2025-10-18"/>
        <s v="2025-03-13"/>
        <s v="2025-02-16"/>
        <s v="2025-08-28"/>
        <s v="2025-05-15"/>
        <s v="2025-09-29"/>
        <s v="2025-01-30"/>
        <s v="2025-12-04"/>
        <s v="2025-06-09"/>
        <s v="2025-10-11"/>
        <s v="2025-09-21"/>
        <s v="2025-02-18"/>
        <s v="2025-11-27"/>
        <s v="2025-02-17"/>
        <s v="2025-01-02"/>
        <s v="2025-10-05"/>
        <s v="2025-02-05"/>
        <s v="2025-09-25"/>
        <s v="2025-02-07"/>
        <s v="2025-05-06"/>
        <s v="2025-02-23"/>
        <s v="2025-12-18"/>
        <s v="2025-03-08"/>
        <s v="2025-03-18"/>
        <s v="2025-01-21"/>
        <s v="2025-04-01"/>
        <s v="2025-01-20"/>
        <s v="2025-10-02"/>
        <s v="2025-06-10"/>
        <s v="2025-10-03"/>
        <s v="2025-06-03"/>
        <s v="2025-03-31"/>
        <s v="2025-12-02"/>
        <s v="2025-09-01"/>
        <s v="2025-01-03"/>
        <s v="2025-03-10"/>
        <s v="2025-05-13"/>
        <s v="2025-06-21"/>
        <s v="2025-07-28"/>
        <s v="2025-01-11"/>
        <s v="2025-08-03"/>
        <s v="2025-07-27"/>
        <s v="2025-08-08"/>
        <s v="2025-07-14"/>
        <s v="2025-11-30"/>
        <s v="2025-04-22"/>
        <s v="2025-12-23"/>
        <s v="2025-08-04"/>
        <s v="2025-05-19"/>
        <s v="2025-08-19"/>
        <s v="2025-06-24"/>
        <s v="2025-05-04"/>
        <s v="2025-10-25"/>
        <s v="2025-03-03"/>
        <s v="2025-09-26"/>
        <s v="2025-05-21"/>
        <s v="2025-08-14"/>
        <s v="2025-01-28"/>
        <s v="2025-02-20"/>
        <s v="2025-07-29"/>
        <s v="2025-03-26"/>
        <s v="2025-09-10"/>
        <s v="2025-10-22"/>
        <s v="2025-11-22"/>
        <s v="2025-07-30"/>
        <s v="2025-07-26"/>
        <s v="2025-08-15"/>
        <s v="2025-11-19"/>
        <s v="2025-08-25"/>
        <s v="2025-08-22"/>
        <s v="2025-09-17"/>
        <s v="2025-10-06"/>
        <s v="2025-08-31"/>
        <s v="2025-05-16"/>
        <s v="2025-11-21"/>
        <s v="2025-07-11"/>
        <s v="2025-12-16"/>
        <s v="2025-05-28"/>
        <s v="2025-06-04"/>
        <s v="2025-04-23"/>
        <s v="2025-03-09"/>
        <s v="2025-09-14"/>
        <s v="2025-04-26"/>
        <s v="2025-12-11"/>
        <s v="2025-11-09"/>
        <s v="2025-12-20"/>
        <s v="2025-04-30"/>
        <s v="2025-02-02"/>
        <s v="2025-09-16"/>
        <s v="2025-08-21"/>
        <s v="2025-02-04"/>
        <s v="2025-06-18"/>
        <s v="2025-10-23"/>
        <s v="2025-10-21"/>
        <s v="2025-01-04"/>
        <s v="2025-02-11"/>
        <s v="2025-08-09"/>
        <s v="2025-04-19"/>
        <s v="2025-09-30"/>
        <s v="2025-11-13"/>
        <s v="2025-06-08"/>
        <s v="2025-06-29"/>
        <s v="2025-01-22"/>
        <s v="2025-06-25"/>
        <s v="2025-05-25"/>
        <s v="2025-05-10"/>
        <s v="2025-12-17"/>
        <s v="2025-09-06"/>
        <s v="2025-09-27"/>
        <s v="2025-09-28"/>
        <s v="2025-09-22"/>
        <s v="2025-04-24"/>
        <s v="2025-11-08"/>
        <s v="2025-08-23"/>
        <s v="2025-10-20"/>
        <s v="2025-06-20"/>
        <s v="2025-03-11"/>
        <s v="2025-06-19"/>
        <s v="2025-07-08"/>
        <s v="2025-05-31"/>
        <s v="2025-08-16"/>
        <s v="2025-12-10"/>
        <s v="2025-07-07"/>
        <s v="2025-10-15"/>
        <s v="2025-03-30"/>
        <s v="2025-03-22"/>
        <s v="2025-09-03"/>
        <s v="2025-10-10"/>
        <s v="2025-12-30"/>
        <s v="2025-09-15"/>
        <s v="2025-11-25"/>
        <s v="2025-06-13"/>
        <s v="2025-11-12"/>
        <s v="2025-09-13"/>
        <s v="2025-09-11"/>
        <s v="2025-10-09"/>
        <s v="2025-03-15"/>
        <s v="2025-10-31"/>
        <s v="2025-06-07"/>
        <s v="2025-11-14"/>
        <s v="2025-07-12"/>
        <s v="2025-10-13"/>
        <s v="2025-05-05"/>
        <s v="2025-03-12"/>
        <s v="2025-05-27"/>
        <s v="2025-01-19"/>
        <s v="2025-07-04"/>
        <s v="2025-12-27"/>
        <s v="2025-11-07"/>
        <s v="2025-02-27"/>
        <s v="2025-01-31"/>
        <s v="2025-01-17"/>
        <s v="2025-11-26"/>
        <s v="2025-04-15"/>
        <s v="2025-04-08"/>
        <s v="2025-08-02"/>
        <s v="2025-05-12"/>
        <s v="2025-12-29"/>
        <s v="2025-04-09"/>
        <s v="2025-12-26"/>
        <s v="2025-12-21"/>
        <s v="2025-04-17"/>
        <s v="2025-10-04"/>
        <s v="2025-11-06"/>
        <s v="2025-08-10"/>
        <s v="2025-12-31"/>
        <s v="2025-11-02"/>
        <s v="2025-08-11"/>
        <s v="2025-10-16"/>
        <s v="2025-11-03"/>
        <s v="2025-02-13"/>
        <s v="2025-02-24"/>
        <s v="2025-03-14"/>
        <s v="2025-04-16"/>
        <s v="2025-09-08"/>
        <s v="2025-09-19"/>
        <s v="2025-01-05"/>
        <s v="2025-10-17"/>
        <s v="2025-08-06"/>
        <s v="2025-03-02"/>
        <s v="2025-12-14"/>
        <s v="2025-06-14"/>
        <s v="2025-06-15"/>
        <s v="2025-11-17"/>
        <s v="2025-12-19"/>
        <s v="2025-02-06"/>
        <s v="2025-03-19"/>
        <s v="2025-05-03"/>
        <s v="2025-10-19"/>
        <s v="2025-07-23"/>
        <s v="2025-02-12"/>
        <s v="2025-01-29"/>
        <s v="2025-05-11"/>
        <s v="2025-07-06"/>
        <s v="2025-07-25"/>
        <s v="2025-06-05"/>
        <s v="2025-09-24"/>
        <s v="2025-06-17"/>
        <s v="2025-09-20"/>
        <s v="2025-08-30"/>
        <s v="2025-10-30"/>
        <s v="2025-11-10"/>
        <s v="2025-02-15"/>
        <s v="2025-02-25"/>
        <s v="2025-05-14"/>
        <s v="2025-11-01"/>
        <s v="2025-03-20"/>
        <s v="2025-05-30"/>
        <s v="2025-07-18"/>
        <s v="2025-05-18"/>
        <s v="2025-01-18"/>
        <s v="2025-08-05"/>
        <s v="2025-02-14"/>
        <s v="2025-07-10"/>
        <s v="2025-04-12"/>
        <s v="2025-11-16"/>
        <s v="2025-05-22"/>
        <s v="2025-11-04"/>
        <s v="2025-03-29"/>
        <s v="2025-04-04"/>
        <s v="2025-10-27"/>
        <s v="2025-07-15"/>
        <s v="2025-04-18"/>
        <s v="2025-07-16"/>
        <s v="2025-05-29"/>
        <s v="2025-12-22"/>
        <s v="2025-05-01"/>
        <s v="2025-02-21"/>
        <s v="2025-12-13"/>
        <s v="2025-09-09"/>
        <s v="2025-07-31"/>
        <s v="2025-05-17"/>
        <s v="2025-08-20"/>
        <s v="2025-12-05"/>
        <s v="2025-03-23"/>
        <s v="2025-11-28"/>
        <s v="2025-06-26"/>
        <s v="2025-06-06"/>
        <s v="2025-01-10"/>
        <s v="2025-03-16"/>
        <s v="2025-12-09"/>
        <s v="2025-05-09"/>
        <s v="2025-01-12"/>
        <s v="2025-07-09"/>
        <s v="2025-04-28"/>
        <s v="2025-01-27"/>
        <s v="2025-08-13"/>
        <s v="2025-08-24"/>
        <s v="2025-09-04"/>
        <s v="2025-04-05"/>
        <s v="2025-11-11"/>
        <s v="2025-12-25"/>
        <s v="2025-01-14"/>
        <s v="2025-05-07"/>
        <s v="2025-03-25"/>
        <s v="2025-02-26"/>
        <s v="2025-05-08"/>
        <s v="2025-12-15"/>
        <s v="2025-07-22"/>
        <s v="2025-01-01"/>
        <s v="2025-02-10"/>
        <s v="2025-06-30"/>
        <s v="2025-09-23"/>
        <s v="2025-11-15"/>
        <s v="2025-01-16"/>
        <s v="2025-01-08"/>
        <s v="2025-07-21"/>
        <s v="2025-03-27"/>
        <s v="2025-04-14"/>
        <s v="2025-12-08"/>
        <s v="2025-12-28"/>
        <s v="2025-09-12"/>
        <s v="2025-01-13"/>
        <s v="2025-02-28"/>
        <s v="2025-01-26"/>
        <s v="2025-10-12"/>
        <s v="2025-06-12"/>
        <s v="2025-03-07"/>
        <s v="2025-05-26"/>
        <s v="2025-08-07"/>
        <s v="2025-08-17"/>
        <s v="2025-01-09"/>
        <s v="2025-11-20"/>
        <s v="2025-06-01"/>
        <s v="2025-07-03"/>
        <s v="2025-07-17"/>
        <s v="2025-02-03"/>
        <s v="2025-01-25"/>
        <s v="2025-03-04"/>
        <s v="2025-08-29"/>
        <s v="2025-04-13"/>
        <s v="2025-10-26"/>
        <s v="2025-07-19"/>
        <s v="2025-12-06"/>
        <s v="2025-01-06"/>
        <s v="2025-10-14"/>
        <s v="2025-09-18"/>
        <s v="2025-06-16"/>
        <s v="2025-11-05"/>
        <s v="2025-08-26"/>
        <s v="2025-10-28"/>
        <s v="2025-12-03"/>
        <s v="2025-08-01"/>
        <s v="2025-06-23"/>
        <s v="2025-11-18"/>
        <s v="2025-02-01"/>
        <s v="2025-04-21"/>
        <s v="2025-08-18"/>
        <s v="2025-03-28"/>
        <s v="2025-05-24"/>
        <s v="2025-04-25"/>
        <s v="2025-01-15"/>
        <s v="2025-03-06"/>
        <s v="2025-05-20"/>
        <s v="2025-04-11"/>
        <s v="2025-12-01"/>
        <s v="2025-04-06"/>
        <s v="2025-02-09"/>
        <s v="2025-07-05"/>
        <s v="2025-03-24"/>
        <s v="2025-07-13"/>
        <s v="2025-06-11"/>
        <s v="2025-06-28"/>
        <s v="2025-09-05"/>
        <s v="2025-03-17"/>
        <s v="2025-03-01"/>
        <s v="2025-07-24"/>
        <s v="2025-04-29"/>
        <s v="2025-01-07"/>
        <s v="2025-09-02"/>
        <s v="2025-03-21"/>
        <s v="2025-04-10"/>
        <s v="2025-06-02"/>
        <s v="2025-08-12"/>
      </sharedItems>
      <fieldGroup par="13"/>
    </cacheField>
    <cacheField name="Customer ID" numFmtId="0">
      <sharedItems/>
    </cacheField>
    <cacheField name="Segment" numFmtId="0">
      <sharedItems count="3">
        <s v="Home Office"/>
        <s v="Consumer"/>
        <s v="Corporate"/>
      </sharedItems>
    </cacheField>
    <cacheField name="Region" numFmtId="0">
      <sharedItems count="4">
        <s v="North"/>
        <s v="West"/>
        <s v="East"/>
        <s v="South"/>
      </sharedItems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Sales" numFmtId="164">
      <sharedItems containsSemiMixedTypes="0" containsString="0" containsNumber="1" minValue="102.63" maxValue="4999.55"/>
    </cacheField>
    <cacheField name="Profit" numFmtId="0">
      <sharedItems containsSemiMixedTypes="0" containsString="0" containsNumber="1" minValue="-74.84" maxValue="1385.99"/>
    </cacheField>
    <cacheField name="Order Date2" numFmtId="0" databaseField="0">
      <fieldGroup base="3">
        <discretePr count="341">
          <x v="262"/>
          <x v="311"/>
          <x v="132"/>
          <x v="22"/>
          <x v="107"/>
          <x v="169"/>
          <x v="306"/>
          <x v="272"/>
          <x v="66"/>
          <x v="44"/>
          <x v="224"/>
          <x v="124"/>
          <x v="255"/>
          <x v="28"/>
          <x v="313"/>
          <x v="149"/>
          <x v="265"/>
          <x v="247"/>
          <x v="46"/>
          <x v="309"/>
          <x v="45"/>
          <x v="1"/>
          <x v="260"/>
          <x v="34"/>
          <x v="251"/>
          <x v="36"/>
          <x v="115"/>
          <x v="49"/>
          <x v="313"/>
          <x v="61"/>
          <x v="71"/>
          <x v="20"/>
          <x v="85"/>
          <x v="19"/>
          <x v="257"/>
          <x v="150"/>
          <x v="258"/>
          <x v="143"/>
          <x v="84"/>
          <x v="313"/>
          <x v="228"/>
          <x v="2"/>
          <x v="63"/>
          <x v="122"/>
          <x v="161"/>
          <x v="194"/>
          <x v="10"/>
          <x v="200"/>
          <x v="193"/>
          <x v="205"/>
          <x v="181"/>
          <x v="312"/>
          <x v="102"/>
          <x v="313"/>
          <x v="201"/>
          <x v="128"/>
          <x v="216"/>
          <x v="163"/>
          <x v="113"/>
          <x v="278"/>
          <x v="57"/>
          <x v="252"/>
          <x v="130"/>
          <x v="211"/>
          <x v="26"/>
          <x v="47"/>
          <x v="195"/>
          <x v="79"/>
          <x v="236"/>
          <x v="276"/>
          <x v="305"/>
          <x v="196"/>
          <x v="192"/>
          <x v="212"/>
          <x v="302"/>
          <x v="222"/>
          <x v="219"/>
          <x v="243"/>
          <x v="261"/>
          <x v="227"/>
          <x v="125"/>
          <x v="304"/>
          <x v="178"/>
          <x v="313"/>
          <x v="137"/>
          <x v="144"/>
          <x v="103"/>
          <x v="62"/>
          <x v="240"/>
          <x v="106"/>
          <x v="313"/>
          <x v="292"/>
          <x v="313"/>
          <x v="110"/>
          <x v="31"/>
          <x v="242"/>
          <x v="218"/>
          <x v="33"/>
          <x v="158"/>
          <x v="277"/>
          <x v="275"/>
          <x v="3"/>
          <x v="39"/>
          <x v="206"/>
          <x v="100"/>
          <x v="256"/>
          <x v="296"/>
          <x v="148"/>
          <x v="167"/>
          <x v="21"/>
          <x v="164"/>
          <x v="134"/>
          <x v="119"/>
          <x v="313"/>
          <x v="233"/>
          <x v="253"/>
          <x v="254"/>
          <x v="248"/>
          <x v="104"/>
          <x v="291"/>
          <x v="220"/>
          <x v="274"/>
          <x v="160"/>
          <x v="64"/>
          <x v="159"/>
          <x v="175"/>
          <x v="140"/>
          <x v="213"/>
          <x v="313"/>
          <x v="174"/>
          <x v="269"/>
          <x v="83"/>
          <x v="75"/>
          <x v="230"/>
          <x v="264"/>
          <x v="313"/>
          <x v="241"/>
          <x v="307"/>
          <x v="153"/>
          <x v="295"/>
          <x v="239"/>
          <x v="237"/>
          <x v="263"/>
          <x v="68"/>
          <x v="283"/>
          <x v="147"/>
          <x v="297"/>
          <x v="179"/>
          <x v="267"/>
          <x v="114"/>
          <x v="65"/>
          <x v="136"/>
          <x v="18"/>
          <x v="171"/>
          <x v="313"/>
          <x v="290"/>
          <x v="53"/>
          <x v="29"/>
          <x v="16"/>
          <x v="308"/>
          <x v="96"/>
          <x v="89"/>
          <x v="199"/>
          <x v="121"/>
          <x v="313"/>
          <x v="90"/>
          <x v="313"/>
          <x v="313"/>
          <x v="98"/>
          <x v="259"/>
          <x v="289"/>
          <x v="207"/>
          <x v="313"/>
          <x v="285"/>
          <x v="208"/>
          <x v="270"/>
          <x v="286"/>
          <x v="41"/>
          <x v="50"/>
          <x v="67"/>
          <x v="97"/>
          <x v="234"/>
          <x v="245"/>
          <x v="4"/>
          <x v="271"/>
          <x v="203"/>
          <x v="56"/>
          <x v="313"/>
          <x v="154"/>
          <x v="155"/>
          <x v="300"/>
          <x v="313"/>
          <x v="35"/>
          <x v="72"/>
          <x v="112"/>
          <x v="273"/>
          <x v="189"/>
          <x v="40"/>
          <x v="27"/>
          <x v="120"/>
          <x v="173"/>
          <x v="191"/>
          <x v="145"/>
          <x v="250"/>
          <x v="157"/>
          <x v="246"/>
          <x v="226"/>
          <x v="282"/>
          <x v="293"/>
          <x v="43"/>
          <x v="51"/>
          <x v="123"/>
          <x v="284"/>
          <x v="73"/>
          <x v="139"/>
          <x v="185"/>
          <x v="127"/>
          <x v="17"/>
          <x v="202"/>
          <x v="42"/>
          <x v="177"/>
          <x v="93"/>
          <x v="299"/>
          <x v="131"/>
          <x v="287"/>
          <x v="82"/>
          <x v="86"/>
          <x v="280"/>
          <x v="182"/>
          <x v="99"/>
          <x v="183"/>
          <x v="138"/>
          <x v="313"/>
          <x v="111"/>
          <x v="48"/>
          <x v="313"/>
          <x v="235"/>
          <x v="197"/>
          <x v="126"/>
          <x v="217"/>
          <x v="313"/>
          <x v="76"/>
          <x v="310"/>
          <x v="165"/>
          <x v="146"/>
          <x v="9"/>
          <x v="69"/>
          <x v="313"/>
          <x v="118"/>
          <x v="11"/>
          <x v="176"/>
          <x v="108"/>
          <x v="25"/>
          <x v="210"/>
          <x v="221"/>
          <x v="231"/>
          <x v="87"/>
          <x v="294"/>
          <x v="313"/>
          <x v="13"/>
          <x v="116"/>
          <x v="78"/>
          <x v="52"/>
          <x v="117"/>
          <x v="313"/>
          <x v="188"/>
          <x v="0"/>
          <x v="38"/>
          <x v="168"/>
          <x v="249"/>
          <x v="298"/>
          <x v="15"/>
          <x v="7"/>
          <x v="187"/>
          <x v="80"/>
          <x v="95"/>
          <x v="313"/>
          <x v="313"/>
          <x v="238"/>
          <x v="12"/>
          <x v="54"/>
          <x v="24"/>
          <x v="266"/>
          <x v="152"/>
          <x v="60"/>
          <x v="135"/>
          <x v="204"/>
          <x v="214"/>
          <x v="8"/>
          <x v="303"/>
          <x v="141"/>
          <x v="170"/>
          <x v="184"/>
          <x v="32"/>
          <x v="23"/>
          <x v="58"/>
          <x v="225"/>
          <x v="94"/>
          <x v="279"/>
          <x v="186"/>
          <x v="313"/>
          <x v="5"/>
          <x v="268"/>
          <x v="244"/>
          <x v="156"/>
          <x v="288"/>
          <x v="223"/>
          <x v="281"/>
          <x v="313"/>
          <x v="198"/>
          <x v="162"/>
          <x v="301"/>
          <x v="30"/>
          <x v="101"/>
          <x v="215"/>
          <x v="81"/>
          <x v="133"/>
          <x v="105"/>
          <x v="14"/>
          <x v="59"/>
          <x v="129"/>
          <x v="92"/>
          <x v="313"/>
          <x v="88"/>
          <x v="37"/>
          <x v="172"/>
          <x v="77"/>
          <x v="180"/>
          <x v="151"/>
          <x v="166"/>
          <x v="232"/>
          <x v="70"/>
          <x v="55"/>
          <x v="190"/>
          <x v="109"/>
          <x v="6"/>
          <x v="229"/>
          <x v="74"/>
          <x v="91"/>
          <x v="142"/>
          <x v="209"/>
        </discretePr>
        <groupItems count="314">
          <s v="2025-01-01"/>
          <s v="2025-01-02"/>
          <s v="2025-01-03"/>
          <s v="2025-01-04"/>
          <s v="2025-01-05"/>
          <s v="2025-01-06"/>
          <s v="2025-01-07"/>
          <s v="2025-01-08"/>
          <s v="2025-01-09"/>
          <s v="2025-01-10"/>
          <s v="2025-01-11"/>
          <s v="2025-01-12"/>
          <s v="2025-01-13"/>
          <s v="2025-01-14"/>
          <s v="2025-01-15"/>
          <s v="2025-01-16"/>
          <s v="2025-01-17"/>
          <s v="2025-01-18"/>
          <s v="2025-01-19"/>
          <s v="2025-01-20"/>
          <s v="2025-01-21"/>
          <s v="2025-01-22"/>
          <s v="2025-01-23"/>
          <s v="2025-01-25"/>
          <s v="2025-01-26"/>
          <s v="2025-01-27"/>
          <s v="2025-01-28"/>
          <s v="2025-01-29"/>
          <s v="2025-01-30"/>
          <s v="2025-01-31"/>
          <s v="2025-02-01"/>
          <s v="2025-02-02"/>
          <s v="2025-02-03"/>
          <s v="2025-02-04"/>
          <s v="2025-02-05"/>
          <s v="2025-02-06"/>
          <s v="2025-02-07"/>
          <s v="2025-02-09"/>
          <s v="2025-02-10"/>
          <s v="2025-02-11"/>
          <s v="2025-02-12"/>
          <s v="2025-02-13"/>
          <s v="2025-02-14"/>
          <s v="2025-02-15"/>
          <s v="2025-02-16"/>
          <s v="2025-02-17"/>
          <s v="2025-02-18"/>
          <s v="2025-02-20"/>
          <s v="2025-02-21"/>
          <s v="2025-02-23"/>
          <s v="2025-02-24"/>
          <s v="2025-02-25"/>
          <s v="2025-02-26"/>
          <s v="2025-02-27"/>
          <s v="2025-02-28"/>
          <s v="2025-03-01"/>
          <s v="2025-03-02"/>
          <s v="2025-03-03"/>
          <s v="2025-03-04"/>
          <s v="2025-03-06"/>
          <s v="2025-03-07"/>
          <s v="2025-03-08"/>
          <s v="2025-03-09"/>
          <s v="2025-03-10"/>
          <s v="2025-03-11"/>
          <s v="2025-03-12"/>
          <s v="2025-03-13"/>
          <s v="2025-03-14"/>
          <s v="2025-03-15"/>
          <s v="2025-03-16"/>
          <s v="2025-03-17"/>
          <s v="2025-03-18"/>
          <s v="2025-03-19"/>
          <s v="2025-03-20"/>
          <s v="2025-03-21"/>
          <s v="2025-03-22"/>
          <s v="2025-03-23"/>
          <s v="2025-03-24"/>
          <s v="2025-03-25"/>
          <s v="2025-03-26"/>
          <s v="2025-03-27"/>
          <s v="2025-03-28"/>
          <s v="2025-03-29"/>
          <s v="2025-03-30"/>
          <s v="2025-03-31"/>
          <s v="2025-04-01"/>
          <s v="2025-04-04"/>
          <s v="2025-04-05"/>
          <s v="2025-04-06"/>
          <s v="2025-04-08"/>
          <s v="2025-04-09"/>
          <s v="2025-04-10"/>
          <s v="2025-04-11"/>
          <s v="2025-04-12"/>
          <s v="2025-04-13"/>
          <s v="2025-04-14"/>
          <s v="2025-04-15"/>
          <s v="2025-04-16"/>
          <s v="2025-04-17"/>
          <s v="2025-04-18"/>
          <s v="2025-04-19"/>
          <s v="2025-04-21"/>
          <s v="2025-04-22"/>
          <s v="2025-04-23"/>
          <s v="2025-04-24"/>
          <s v="2025-04-25"/>
          <s v="2025-04-26"/>
          <s v="2025-04-27"/>
          <s v="2025-04-28"/>
          <s v="2025-04-29"/>
          <s v="2025-04-30"/>
          <s v="2025-05-01"/>
          <s v="2025-05-03"/>
          <s v="2025-05-04"/>
          <s v="2025-05-05"/>
          <s v="2025-05-06"/>
          <s v="2025-05-07"/>
          <s v="2025-05-08"/>
          <s v="2025-05-09"/>
          <s v="2025-05-10"/>
          <s v="2025-05-11"/>
          <s v="2025-05-12"/>
          <s v="2025-05-13"/>
          <s v="2025-05-14"/>
          <s v="2025-05-15"/>
          <s v="2025-05-16"/>
          <s v="2025-05-17"/>
          <s v="2025-05-18"/>
          <s v="2025-05-19"/>
          <s v="2025-05-20"/>
          <s v="2025-05-21"/>
          <s v="2025-05-22"/>
          <s v="2025-05-23"/>
          <s v="2025-05-24"/>
          <s v="2025-05-25"/>
          <s v="2025-05-26"/>
          <s v="2025-05-27"/>
          <s v="2025-05-28"/>
          <s v="2025-05-29"/>
          <s v="2025-05-30"/>
          <s v="2025-05-31"/>
          <s v="2025-06-01"/>
          <s v="2025-06-02"/>
          <s v="2025-06-03"/>
          <s v="2025-06-04"/>
          <s v="2025-06-05"/>
          <s v="2025-06-06"/>
          <s v="2025-06-07"/>
          <s v="2025-06-08"/>
          <s v="2025-06-09"/>
          <s v="2025-06-10"/>
          <s v="2025-06-11"/>
          <s v="2025-06-12"/>
          <s v="2025-06-13"/>
          <s v="2025-06-14"/>
          <s v="2025-06-15"/>
          <s v="2025-06-16"/>
          <s v="2025-06-17"/>
          <s v="2025-06-18"/>
          <s v="2025-06-19"/>
          <s v="2025-06-20"/>
          <s v="2025-06-21"/>
          <s v="2025-06-23"/>
          <s v="2025-06-24"/>
          <s v="2025-06-25"/>
          <s v="2025-06-26"/>
          <s v="2025-06-28"/>
          <s v="2025-06-29"/>
          <s v="2025-06-30"/>
          <s v="2025-07-01"/>
          <s v="2025-07-03"/>
          <s v="2025-07-04"/>
          <s v="2025-07-05"/>
          <s v="2025-07-06"/>
          <s v="2025-07-07"/>
          <s v="2025-07-08"/>
          <s v="2025-07-09"/>
          <s v="2025-07-10"/>
          <s v="2025-07-11"/>
          <s v="2025-07-12"/>
          <s v="2025-07-13"/>
          <s v="2025-07-14"/>
          <s v="2025-07-15"/>
          <s v="2025-07-16"/>
          <s v="2025-07-17"/>
          <s v="2025-07-18"/>
          <s v="2025-07-19"/>
          <s v="2025-07-21"/>
          <s v="2025-07-22"/>
          <s v="2025-07-23"/>
          <s v="2025-07-24"/>
          <s v="2025-07-25"/>
          <s v="2025-07-26"/>
          <s v="2025-07-27"/>
          <s v="2025-07-28"/>
          <s v="2025-07-29"/>
          <s v="2025-07-30"/>
          <s v="2025-07-31"/>
          <s v="2025-08-01"/>
          <s v="2025-08-02"/>
          <s v="2025-08-03"/>
          <s v="2025-08-04"/>
          <s v="2025-08-05"/>
          <s v="2025-08-06"/>
          <s v="2025-08-07"/>
          <s v="2025-08-08"/>
          <s v="2025-08-09"/>
          <s v="2025-08-10"/>
          <s v="2025-08-11"/>
          <s v="2025-08-12"/>
          <s v="2025-08-13"/>
          <s v="2025-08-14"/>
          <s v="2025-08-15"/>
          <s v="2025-08-16"/>
          <s v="2025-08-17"/>
          <s v="2025-08-18"/>
          <s v="2025-08-19"/>
          <s v="2025-08-20"/>
          <s v="2025-08-21"/>
          <s v="2025-08-22"/>
          <s v="2025-08-23"/>
          <s v="2025-08-24"/>
          <s v="2025-08-25"/>
          <s v="2025-08-26"/>
          <s v="2025-08-28"/>
          <s v="2025-08-29"/>
          <s v="2025-08-30"/>
          <s v="2025-08-31"/>
          <s v="2025-09-01"/>
          <s v="2025-09-02"/>
          <s v="2025-09-03"/>
          <s v="2025-09-04"/>
          <s v="2025-09-05"/>
          <s v="2025-09-06"/>
          <s v="2025-09-08"/>
          <s v="2025-09-09"/>
          <s v="2025-09-10"/>
          <s v="2025-09-11"/>
          <s v="2025-09-12"/>
          <s v="2025-09-13"/>
          <s v="2025-09-14"/>
          <s v="2025-09-15"/>
          <s v="2025-09-16"/>
          <s v="2025-09-17"/>
          <s v="2025-09-18"/>
          <s v="2025-09-19"/>
          <s v="2025-09-20"/>
          <s v="2025-09-21"/>
          <s v="2025-09-22"/>
          <s v="2025-09-23"/>
          <s v="2025-09-24"/>
          <s v="2025-09-25"/>
          <s v="2025-09-26"/>
          <s v="2025-09-27"/>
          <s v="2025-09-28"/>
          <s v="2025-09-29"/>
          <s v="2025-09-30"/>
          <s v="2025-10-02"/>
          <s v="2025-10-03"/>
          <s v="2025-10-04"/>
          <s v="2025-10-05"/>
          <s v="2025-10-06"/>
          <s v="2025-10-07"/>
          <s v="2025-10-09"/>
          <s v="2025-10-10"/>
          <s v="2025-10-11"/>
          <s v="2025-10-12"/>
          <s v="2025-10-13"/>
          <s v="2025-10-14"/>
          <s v="2025-10-15"/>
          <s v="2025-10-16"/>
          <s v="2025-10-17"/>
          <s v="2025-10-18"/>
          <s v="2025-10-19"/>
          <s v="2025-10-20"/>
          <s v="2025-10-21"/>
          <s v="2025-10-22"/>
          <s v="2025-10-23"/>
          <s v="2025-10-25"/>
          <s v="2025-10-26"/>
          <s v="2025-10-27"/>
          <s v="2025-10-28"/>
          <s v="2025-10-30"/>
          <s v="2025-10-31"/>
          <s v="2025-11-01"/>
          <s v="2025-11-02"/>
          <s v="2025-11-03"/>
          <s v="2025-11-04"/>
          <s v="2025-11-05"/>
          <s v="2025-11-06"/>
          <s v="2025-11-07"/>
          <s v="2025-11-08"/>
          <s v="2025-11-09"/>
          <s v="2025-11-10"/>
          <s v="2025-11-11"/>
          <s v="2025-11-12"/>
          <s v="2025-11-13"/>
          <s v="2025-11-14"/>
          <s v="2025-11-15"/>
          <s v="2025-11-16"/>
          <s v="2025-11-17"/>
          <s v="2025-11-18"/>
          <s v="2025-11-19"/>
          <s v="2025-11-20"/>
          <s v="2025-11-21"/>
          <s v="2025-11-22"/>
          <s v="2025-11-24"/>
          <s v="2025-11-25"/>
          <s v="2025-11-26"/>
          <s v="2025-11-27"/>
          <s v="2025-11-28"/>
          <s v="2025-11-29"/>
          <s v="2025-11-30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001"/>
    <x v="0"/>
    <n v="10"/>
    <x v="0"/>
    <s v="CUST189"/>
    <x v="0"/>
    <x v="0"/>
    <s v="Delhi"/>
    <x v="0"/>
    <s v="Binder"/>
    <n v="4"/>
    <n v="1193.73"/>
    <n v="211.8"/>
  </r>
  <r>
    <n v="10002"/>
    <x v="1"/>
    <n v="11"/>
    <x v="1"/>
    <s v="CUST818"/>
    <x v="0"/>
    <x v="1"/>
    <s v="Mumbai"/>
    <x v="1"/>
    <s v="Chair"/>
    <n v="4"/>
    <n v="1240.04"/>
    <n v="192.51"/>
  </r>
  <r>
    <n v="10003"/>
    <x v="2"/>
    <n v="5"/>
    <x v="2"/>
    <s v="CUST259"/>
    <x v="1"/>
    <x v="1"/>
    <s v="Mumbai"/>
    <x v="2"/>
    <s v="Keyboard"/>
    <n v="1"/>
    <n v="3818.16"/>
    <n v="301.05"/>
  </r>
  <r>
    <n v="10004"/>
    <x v="3"/>
    <n v="1"/>
    <x v="3"/>
    <s v="CUST847"/>
    <x v="2"/>
    <x v="2"/>
    <s v="Kolkata"/>
    <x v="1"/>
    <s v="Sofa"/>
    <n v="2"/>
    <n v="1859"/>
    <n v="226.35"/>
  </r>
  <r>
    <n v="10005"/>
    <x v="4"/>
    <n v="4"/>
    <x v="4"/>
    <s v="CUST891"/>
    <x v="2"/>
    <x v="0"/>
    <s v="Chandigarh"/>
    <x v="1"/>
    <s v="Bookcase"/>
    <n v="6"/>
    <n v="2929.03"/>
    <n v="657.8"/>
  </r>
  <r>
    <n v="10006"/>
    <x v="5"/>
    <n v="7"/>
    <x v="5"/>
    <s v="CUST314"/>
    <x v="0"/>
    <x v="0"/>
    <s v="Delhi"/>
    <x v="1"/>
    <s v="Sofa"/>
    <n v="5"/>
    <n v="2321.71"/>
    <n v="583.96"/>
  </r>
  <r>
    <n v="10007"/>
    <x v="1"/>
    <n v="11"/>
    <x v="6"/>
    <s v="CUST804"/>
    <x v="0"/>
    <x v="2"/>
    <s v="Kolkata"/>
    <x v="0"/>
    <s v="Pen"/>
    <n v="4"/>
    <n v="900.67"/>
    <n v="31.52"/>
  </r>
  <r>
    <n v="10008"/>
    <x v="0"/>
    <n v="10"/>
    <x v="7"/>
    <s v="CUST997"/>
    <x v="0"/>
    <x v="3"/>
    <s v="Chennai"/>
    <x v="1"/>
    <s v="Table"/>
    <n v="1"/>
    <n v="4044.72"/>
    <n v="601.27"/>
  </r>
  <r>
    <n v="10009"/>
    <x v="6"/>
    <n v="3"/>
    <x v="8"/>
    <s v="CUST352"/>
    <x v="0"/>
    <x v="2"/>
    <s v="Kolkata"/>
    <x v="0"/>
    <s v="Storage Box"/>
    <n v="7"/>
    <n v="4434.95"/>
    <n v="920.21"/>
  </r>
  <r>
    <n v="10010"/>
    <x v="7"/>
    <n v="2"/>
    <x v="9"/>
    <s v="CUST873"/>
    <x v="1"/>
    <x v="2"/>
    <s v="Bhubaneswar"/>
    <x v="0"/>
    <s v="Storage Box"/>
    <n v="6"/>
    <n v="1174.67"/>
    <n v="300.73"/>
  </r>
  <r>
    <n v="10011"/>
    <x v="8"/>
    <n v="8"/>
    <x v="10"/>
    <s v="CUST641"/>
    <x v="2"/>
    <x v="0"/>
    <s v="Delhi"/>
    <x v="0"/>
    <s v="Pen"/>
    <n v="7"/>
    <n v="3022.4"/>
    <n v="382.26"/>
  </r>
  <r>
    <n v="10012"/>
    <x v="2"/>
    <n v="5"/>
    <x v="11"/>
    <s v="CUST612"/>
    <x v="1"/>
    <x v="0"/>
    <s v="Delhi"/>
    <x v="0"/>
    <s v="Binder"/>
    <n v="6"/>
    <n v="646.61"/>
    <n v="57.24"/>
  </r>
  <r>
    <n v="10013"/>
    <x v="9"/>
    <n v="9"/>
    <x v="12"/>
    <s v="CUST100"/>
    <x v="0"/>
    <x v="0"/>
    <s v="Chandigarh"/>
    <x v="0"/>
    <s v="Pen"/>
    <n v="3"/>
    <n v="1932.18"/>
    <n v="79.290000000000006"/>
  </r>
  <r>
    <n v="10014"/>
    <x v="3"/>
    <n v="1"/>
    <x v="13"/>
    <s v="CUST346"/>
    <x v="0"/>
    <x v="2"/>
    <s v="Bhubaneswar"/>
    <x v="1"/>
    <s v="Chair"/>
    <n v="6"/>
    <n v="4405.74"/>
    <n v="1105.56"/>
  </r>
  <r>
    <n v="10015"/>
    <x v="10"/>
    <n v="12"/>
    <x v="14"/>
    <s v="CUST586"/>
    <x v="0"/>
    <x v="0"/>
    <s v="Delhi"/>
    <x v="0"/>
    <s v="Storage Box"/>
    <n v="2"/>
    <n v="4892.12"/>
    <n v="883.55"/>
  </r>
  <r>
    <n v="10016"/>
    <x v="11"/>
    <n v="6"/>
    <x v="15"/>
    <s v="CUST508"/>
    <x v="0"/>
    <x v="3"/>
    <s v="Chennai"/>
    <x v="0"/>
    <s v="Storage Box"/>
    <n v="4"/>
    <n v="4651.68"/>
    <n v="1041.9100000000001"/>
  </r>
  <r>
    <n v="10017"/>
    <x v="0"/>
    <n v="10"/>
    <x v="16"/>
    <s v="CUST335"/>
    <x v="0"/>
    <x v="2"/>
    <s v="Bhubaneswar"/>
    <x v="0"/>
    <s v="Storage Box"/>
    <n v="2"/>
    <n v="1314.74"/>
    <n v="84.68"/>
  </r>
  <r>
    <n v="10018"/>
    <x v="9"/>
    <n v="9"/>
    <x v="17"/>
    <s v="CUST343"/>
    <x v="2"/>
    <x v="3"/>
    <s v="Bengaluru"/>
    <x v="1"/>
    <s v="Chair"/>
    <n v="4"/>
    <n v="430.26"/>
    <n v="-8.15"/>
  </r>
  <r>
    <n v="10019"/>
    <x v="7"/>
    <n v="2"/>
    <x v="18"/>
    <s v="CUST199"/>
    <x v="0"/>
    <x v="1"/>
    <s v="Mumbai"/>
    <x v="0"/>
    <s v="Pen"/>
    <n v="8"/>
    <n v="1290.69"/>
    <n v="176.44"/>
  </r>
  <r>
    <n v="10020"/>
    <x v="1"/>
    <n v="11"/>
    <x v="19"/>
    <s v="CUST200"/>
    <x v="1"/>
    <x v="1"/>
    <s v="Pune"/>
    <x v="2"/>
    <s v="Monitor"/>
    <n v="8"/>
    <n v="4332.8"/>
    <n v="209.97"/>
  </r>
  <r>
    <n v="10021"/>
    <x v="2"/>
    <n v="5"/>
    <x v="2"/>
    <s v="CUST573"/>
    <x v="1"/>
    <x v="1"/>
    <s v="Pune"/>
    <x v="1"/>
    <s v="Table"/>
    <n v="4"/>
    <n v="1032.02"/>
    <n v="125.16"/>
  </r>
  <r>
    <n v="10022"/>
    <x v="7"/>
    <n v="2"/>
    <x v="20"/>
    <s v="CUST871"/>
    <x v="1"/>
    <x v="0"/>
    <s v="Chandigarh"/>
    <x v="0"/>
    <s v="Paper"/>
    <n v="1"/>
    <n v="3295.51"/>
    <n v="608.67999999999995"/>
  </r>
  <r>
    <n v="10023"/>
    <x v="3"/>
    <n v="1"/>
    <x v="21"/>
    <s v="CUST499"/>
    <x v="2"/>
    <x v="3"/>
    <s v="Chennai"/>
    <x v="2"/>
    <s v="Monitor"/>
    <n v="4"/>
    <n v="4336.79"/>
    <n v="1178.8"/>
  </r>
  <r>
    <n v="10024"/>
    <x v="0"/>
    <n v="10"/>
    <x v="22"/>
    <s v="CUST162"/>
    <x v="0"/>
    <x v="1"/>
    <s v="Pune"/>
    <x v="2"/>
    <s v="Monitor"/>
    <n v="3"/>
    <n v="1030.5"/>
    <n v="101.76"/>
  </r>
  <r>
    <n v="10025"/>
    <x v="7"/>
    <n v="2"/>
    <x v="23"/>
    <s v="CUST709"/>
    <x v="1"/>
    <x v="2"/>
    <s v="Kolkata"/>
    <x v="1"/>
    <s v="Sofa"/>
    <n v="3"/>
    <n v="378.71"/>
    <n v="-18.12"/>
  </r>
  <r>
    <n v="10026"/>
    <x v="9"/>
    <n v="9"/>
    <x v="24"/>
    <s v="CUST423"/>
    <x v="2"/>
    <x v="3"/>
    <s v="Chennai"/>
    <x v="1"/>
    <s v="Table"/>
    <n v="1"/>
    <n v="3134.97"/>
    <n v="426.95"/>
  </r>
  <r>
    <n v="10027"/>
    <x v="7"/>
    <n v="2"/>
    <x v="25"/>
    <s v="CUST109"/>
    <x v="2"/>
    <x v="3"/>
    <s v="Chennai"/>
    <x v="1"/>
    <s v="Bookcase"/>
    <n v="7"/>
    <n v="741.3"/>
    <n v="110.97"/>
  </r>
  <r>
    <n v="10028"/>
    <x v="2"/>
    <n v="5"/>
    <x v="26"/>
    <s v="CUST478"/>
    <x v="2"/>
    <x v="0"/>
    <s v="Delhi"/>
    <x v="0"/>
    <s v="Pen"/>
    <n v="5"/>
    <n v="749.04"/>
    <n v="95.93"/>
  </r>
  <r>
    <n v="10029"/>
    <x v="7"/>
    <n v="2"/>
    <x v="27"/>
    <s v="CUST999"/>
    <x v="1"/>
    <x v="3"/>
    <s v="Chennai"/>
    <x v="0"/>
    <s v="Binder"/>
    <n v="1"/>
    <n v="3372.53"/>
    <n v="543.04999999999995"/>
  </r>
  <r>
    <n v="10030"/>
    <x v="10"/>
    <n v="12"/>
    <x v="28"/>
    <s v="CUST749"/>
    <x v="2"/>
    <x v="2"/>
    <s v="Kolkata"/>
    <x v="1"/>
    <s v="Table"/>
    <n v="5"/>
    <n v="1480.61"/>
    <n v="117.71"/>
  </r>
  <r>
    <n v="10031"/>
    <x v="6"/>
    <n v="3"/>
    <x v="29"/>
    <s v="CUST752"/>
    <x v="2"/>
    <x v="1"/>
    <s v="Pune"/>
    <x v="1"/>
    <s v="Chair"/>
    <n v="7"/>
    <n v="4163.8100000000004"/>
    <n v="220.73"/>
  </r>
  <r>
    <n v="10032"/>
    <x v="6"/>
    <n v="3"/>
    <x v="30"/>
    <s v="CUST658"/>
    <x v="1"/>
    <x v="3"/>
    <s v="Chennai"/>
    <x v="0"/>
    <s v="Storage Box"/>
    <n v="1"/>
    <n v="648.17999999999995"/>
    <n v="116.45"/>
  </r>
  <r>
    <n v="10033"/>
    <x v="3"/>
    <n v="1"/>
    <x v="31"/>
    <s v="CUST466"/>
    <x v="1"/>
    <x v="2"/>
    <s v="Kolkata"/>
    <x v="2"/>
    <s v="Mouse"/>
    <n v="1"/>
    <n v="1610.47"/>
    <n v="362.86"/>
  </r>
  <r>
    <n v="10034"/>
    <x v="4"/>
    <n v="4"/>
    <x v="32"/>
    <s v="CUST522"/>
    <x v="1"/>
    <x v="3"/>
    <s v="Bengaluru"/>
    <x v="2"/>
    <s v="Monitor"/>
    <n v="3"/>
    <n v="4636.24"/>
    <n v="489.95"/>
  </r>
  <r>
    <n v="10035"/>
    <x v="3"/>
    <n v="1"/>
    <x v="33"/>
    <s v="CUST979"/>
    <x v="2"/>
    <x v="3"/>
    <s v="Chennai"/>
    <x v="2"/>
    <s v="Mouse"/>
    <n v="5"/>
    <n v="880.07"/>
    <n v="160.04"/>
  </r>
  <r>
    <n v="10036"/>
    <x v="10"/>
    <n v="12"/>
    <x v="14"/>
    <s v="CUST297"/>
    <x v="2"/>
    <x v="3"/>
    <s v="Bengaluru"/>
    <x v="2"/>
    <s v="Keyboard"/>
    <n v="5"/>
    <n v="4120.63"/>
    <n v="1081.3399999999999"/>
  </r>
  <r>
    <n v="10037"/>
    <x v="0"/>
    <n v="10"/>
    <x v="34"/>
    <s v="CUST439"/>
    <x v="1"/>
    <x v="2"/>
    <s v="Bhubaneswar"/>
    <x v="1"/>
    <s v="Bookcase"/>
    <n v="6"/>
    <n v="3243.26"/>
    <n v="388.11"/>
  </r>
  <r>
    <n v="10038"/>
    <x v="11"/>
    <n v="6"/>
    <x v="35"/>
    <s v="CUST546"/>
    <x v="0"/>
    <x v="0"/>
    <s v="Chandigarh"/>
    <x v="1"/>
    <s v="Bookcase"/>
    <n v="1"/>
    <n v="631.16999999999996"/>
    <n v="27.27"/>
  </r>
  <r>
    <n v="10039"/>
    <x v="0"/>
    <n v="10"/>
    <x v="36"/>
    <s v="CUST803"/>
    <x v="0"/>
    <x v="0"/>
    <s v="Chandigarh"/>
    <x v="0"/>
    <s v="Pen"/>
    <n v="5"/>
    <n v="317.49"/>
    <n v="-1.51"/>
  </r>
  <r>
    <n v="10040"/>
    <x v="11"/>
    <n v="6"/>
    <x v="37"/>
    <s v="CUST619"/>
    <x v="2"/>
    <x v="3"/>
    <s v="Chennai"/>
    <x v="2"/>
    <s v="Laptop"/>
    <n v="6"/>
    <n v="3153.46"/>
    <n v="668.2"/>
  </r>
  <r>
    <n v="10041"/>
    <x v="6"/>
    <n v="3"/>
    <x v="38"/>
    <s v="CUST730"/>
    <x v="0"/>
    <x v="1"/>
    <s v="Pune"/>
    <x v="2"/>
    <s v="Keyboard"/>
    <n v="3"/>
    <n v="1040.02"/>
    <n v="186.97"/>
  </r>
  <r>
    <n v="10042"/>
    <x v="10"/>
    <n v="12"/>
    <x v="39"/>
    <s v="CUST429"/>
    <x v="2"/>
    <x v="2"/>
    <s v="Bhubaneswar"/>
    <x v="0"/>
    <s v="Paper"/>
    <n v="5"/>
    <n v="1505.88"/>
    <n v="179.14"/>
  </r>
  <r>
    <n v="10043"/>
    <x v="10"/>
    <n v="12"/>
    <x v="14"/>
    <s v="CUST186"/>
    <x v="2"/>
    <x v="1"/>
    <s v="Pune"/>
    <x v="0"/>
    <s v="Pen"/>
    <n v="8"/>
    <n v="3989.3"/>
    <n v="1083.1300000000001"/>
  </r>
  <r>
    <n v="10044"/>
    <x v="9"/>
    <n v="9"/>
    <x v="40"/>
    <s v="CUST725"/>
    <x v="1"/>
    <x v="2"/>
    <s v="Kolkata"/>
    <x v="1"/>
    <s v="Bookcase"/>
    <n v="4"/>
    <n v="4052.16"/>
    <n v="347.26"/>
  </r>
  <r>
    <n v="10045"/>
    <x v="3"/>
    <n v="1"/>
    <x v="41"/>
    <s v="CUST868"/>
    <x v="1"/>
    <x v="1"/>
    <s v="Pune"/>
    <x v="0"/>
    <s v="Pen"/>
    <n v="7"/>
    <n v="2522.4499999999998"/>
    <n v="214.38"/>
  </r>
  <r>
    <n v="10046"/>
    <x v="6"/>
    <n v="3"/>
    <x v="42"/>
    <s v="CUST920"/>
    <x v="2"/>
    <x v="1"/>
    <s v="Mumbai"/>
    <x v="1"/>
    <s v="Sofa"/>
    <n v="1"/>
    <n v="2831.29"/>
    <n v="778.83"/>
  </r>
  <r>
    <n v="10047"/>
    <x v="2"/>
    <n v="5"/>
    <x v="43"/>
    <s v="CUST869"/>
    <x v="1"/>
    <x v="2"/>
    <s v="Bhubaneswar"/>
    <x v="0"/>
    <s v="Storage Box"/>
    <n v="8"/>
    <n v="4496.32"/>
    <n v="1013.28"/>
  </r>
  <r>
    <n v="10048"/>
    <x v="11"/>
    <n v="6"/>
    <x v="44"/>
    <s v="CUST427"/>
    <x v="0"/>
    <x v="2"/>
    <s v="Bhubaneswar"/>
    <x v="0"/>
    <s v="Pen"/>
    <n v="5"/>
    <n v="2255.38"/>
    <n v="491.65"/>
  </r>
  <r>
    <n v="10049"/>
    <x v="5"/>
    <n v="7"/>
    <x v="45"/>
    <s v="CUST438"/>
    <x v="0"/>
    <x v="0"/>
    <s v="Delhi"/>
    <x v="1"/>
    <s v="Table"/>
    <n v="7"/>
    <n v="3500.35"/>
    <n v="786.77"/>
  </r>
  <r>
    <n v="10050"/>
    <x v="3"/>
    <n v="1"/>
    <x v="46"/>
    <s v="CUST977"/>
    <x v="0"/>
    <x v="1"/>
    <s v="Pune"/>
    <x v="1"/>
    <s v="Table"/>
    <n v="7"/>
    <n v="2008.44"/>
    <n v="392.34"/>
  </r>
  <r>
    <n v="10051"/>
    <x v="8"/>
    <n v="8"/>
    <x v="47"/>
    <s v="CUST651"/>
    <x v="0"/>
    <x v="1"/>
    <s v="Pune"/>
    <x v="1"/>
    <s v="Bookcase"/>
    <n v="5"/>
    <n v="3792.03"/>
    <n v="903.33"/>
  </r>
  <r>
    <n v="10052"/>
    <x v="5"/>
    <n v="7"/>
    <x v="48"/>
    <s v="CUST841"/>
    <x v="1"/>
    <x v="3"/>
    <s v="Chennai"/>
    <x v="1"/>
    <s v="Bookcase"/>
    <n v="7"/>
    <n v="2479.65"/>
    <n v="298.14999999999998"/>
  </r>
  <r>
    <n v="10053"/>
    <x v="8"/>
    <n v="8"/>
    <x v="49"/>
    <s v="CUST238"/>
    <x v="2"/>
    <x v="1"/>
    <s v="Mumbai"/>
    <x v="0"/>
    <s v="Paper"/>
    <n v="7"/>
    <n v="3000.27"/>
    <n v="638.91"/>
  </r>
  <r>
    <n v="10054"/>
    <x v="5"/>
    <n v="7"/>
    <x v="50"/>
    <s v="CUST384"/>
    <x v="2"/>
    <x v="3"/>
    <s v="Bengaluru"/>
    <x v="2"/>
    <s v="Monitor"/>
    <n v="6"/>
    <n v="1137.1400000000001"/>
    <n v="73.650000000000006"/>
  </r>
  <r>
    <n v="10055"/>
    <x v="1"/>
    <n v="11"/>
    <x v="51"/>
    <s v="CUST141"/>
    <x v="1"/>
    <x v="2"/>
    <s v="Kolkata"/>
    <x v="2"/>
    <s v="Laptop"/>
    <n v="1"/>
    <n v="4999.55"/>
    <n v="622.37"/>
  </r>
  <r>
    <n v="10056"/>
    <x v="4"/>
    <n v="4"/>
    <x v="52"/>
    <s v="CUST576"/>
    <x v="0"/>
    <x v="3"/>
    <s v="Bengaluru"/>
    <x v="1"/>
    <s v="Table"/>
    <n v="4"/>
    <n v="718.48"/>
    <n v="99.78"/>
  </r>
  <r>
    <n v="10057"/>
    <x v="11"/>
    <n v="6"/>
    <x v="15"/>
    <s v="CUST689"/>
    <x v="0"/>
    <x v="2"/>
    <s v="Bhubaneswar"/>
    <x v="1"/>
    <s v="Chair"/>
    <n v="3"/>
    <n v="4827.13"/>
    <n v="369.24"/>
  </r>
  <r>
    <n v="10058"/>
    <x v="10"/>
    <n v="12"/>
    <x v="53"/>
    <s v="CUST891"/>
    <x v="2"/>
    <x v="1"/>
    <s v="Pune"/>
    <x v="0"/>
    <s v="Pen"/>
    <n v="2"/>
    <n v="3001.28"/>
    <n v="748.97"/>
  </r>
  <r>
    <n v="10059"/>
    <x v="8"/>
    <n v="8"/>
    <x v="54"/>
    <s v="CUST942"/>
    <x v="2"/>
    <x v="0"/>
    <s v="Delhi"/>
    <x v="2"/>
    <s v="Monitor"/>
    <n v="6"/>
    <n v="437.89"/>
    <n v="91.52"/>
  </r>
  <r>
    <n v="10060"/>
    <x v="2"/>
    <n v="5"/>
    <x v="55"/>
    <s v="CUST730"/>
    <x v="0"/>
    <x v="0"/>
    <s v="Chandigarh"/>
    <x v="2"/>
    <s v="Monitor"/>
    <n v="3"/>
    <n v="2233.89"/>
    <n v="424.95"/>
  </r>
  <r>
    <n v="10061"/>
    <x v="8"/>
    <n v="8"/>
    <x v="56"/>
    <s v="CUST349"/>
    <x v="2"/>
    <x v="1"/>
    <s v="Pune"/>
    <x v="2"/>
    <s v="Keyboard"/>
    <n v="6"/>
    <n v="4273.3900000000003"/>
    <n v="1092.51"/>
  </r>
  <r>
    <n v="10062"/>
    <x v="11"/>
    <n v="6"/>
    <x v="57"/>
    <s v="CUST386"/>
    <x v="0"/>
    <x v="1"/>
    <s v="Pune"/>
    <x v="1"/>
    <s v="Sofa"/>
    <n v="6"/>
    <n v="991.02"/>
    <n v="22.32"/>
  </r>
  <r>
    <n v="10063"/>
    <x v="2"/>
    <n v="5"/>
    <x v="58"/>
    <s v="CUST807"/>
    <x v="2"/>
    <x v="2"/>
    <s v="Kolkata"/>
    <x v="0"/>
    <s v="Pen"/>
    <n v="2"/>
    <n v="1282.6400000000001"/>
    <n v="138.94"/>
  </r>
  <r>
    <n v="10064"/>
    <x v="0"/>
    <n v="10"/>
    <x v="59"/>
    <s v="CUST477"/>
    <x v="2"/>
    <x v="1"/>
    <s v="Pune"/>
    <x v="1"/>
    <s v="Chair"/>
    <n v="5"/>
    <n v="1185.82"/>
    <n v="233.75"/>
  </r>
  <r>
    <n v="10065"/>
    <x v="6"/>
    <n v="3"/>
    <x v="60"/>
    <s v="CUST838"/>
    <x v="1"/>
    <x v="2"/>
    <s v="Bhubaneswar"/>
    <x v="0"/>
    <s v="Binder"/>
    <n v="6"/>
    <n v="3543.99"/>
    <n v="392.09"/>
  </r>
  <r>
    <n v="10066"/>
    <x v="9"/>
    <n v="9"/>
    <x v="61"/>
    <s v="CUST711"/>
    <x v="2"/>
    <x v="2"/>
    <s v="Kolkata"/>
    <x v="0"/>
    <s v="Pen"/>
    <n v="4"/>
    <n v="1160.28"/>
    <n v="126.01"/>
  </r>
  <r>
    <n v="10067"/>
    <x v="2"/>
    <n v="5"/>
    <x v="62"/>
    <s v="CUST146"/>
    <x v="1"/>
    <x v="0"/>
    <s v="Delhi"/>
    <x v="2"/>
    <s v="Mouse"/>
    <n v="6"/>
    <n v="979.26"/>
    <n v="-0.99"/>
  </r>
  <r>
    <n v="10068"/>
    <x v="8"/>
    <n v="8"/>
    <x v="63"/>
    <s v="CUST448"/>
    <x v="1"/>
    <x v="2"/>
    <s v="Kolkata"/>
    <x v="0"/>
    <s v="Storage Box"/>
    <n v="2"/>
    <n v="4376.33"/>
    <n v="799.95"/>
  </r>
  <r>
    <n v="10069"/>
    <x v="3"/>
    <n v="1"/>
    <x v="64"/>
    <s v="CUST255"/>
    <x v="1"/>
    <x v="0"/>
    <s v="Chandigarh"/>
    <x v="2"/>
    <s v="Laptop"/>
    <n v="2"/>
    <n v="2063.4699999999998"/>
    <n v="78.45"/>
  </r>
  <r>
    <n v="10070"/>
    <x v="9"/>
    <n v="9"/>
    <x v="24"/>
    <s v="CUST489"/>
    <x v="2"/>
    <x v="2"/>
    <s v="Kolkata"/>
    <x v="1"/>
    <s v="Chair"/>
    <n v="7"/>
    <n v="3070.96"/>
    <n v="738.06"/>
  </r>
  <r>
    <n v="10071"/>
    <x v="7"/>
    <n v="2"/>
    <x v="65"/>
    <s v="CUST881"/>
    <x v="1"/>
    <x v="1"/>
    <s v="Pune"/>
    <x v="0"/>
    <s v="Storage Box"/>
    <n v="5"/>
    <n v="2886.28"/>
    <n v="91.76"/>
  </r>
  <r>
    <n v="10072"/>
    <x v="5"/>
    <n v="7"/>
    <x v="66"/>
    <s v="CUST561"/>
    <x v="0"/>
    <x v="3"/>
    <s v="Chennai"/>
    <x v="0"/>
    <s v="Paper"/>
    <n v="3"/>
    <n v="1275.3399999999999"/>
    <n v="224.11"/>
  </r>
  <r>
    <n v="10073"/>
    <x v="10"/>
    <n v="12"/>
    <x v="28"/>
    <s v="CUST339"/>
    <x v="2"/>
    <x v="1"/>
    <s v="Pune"/>
    <x v="1"/>
    <s v="Table"/>
    <n v="5"/>
    <n v="3564.08"/>
    <n v="759.18"/>
  </r>
  <r>
    <n v="10074"/>
    <x v="6"/>
    <n v="3"/>
    <x v="67"/>
    <s v="CUST911"/>
    <x v="2"/>
    <x v="3"/>
    <s v="Chennai"/>
    <x v="1"/>
    <s v="Table"/>
    <n v="3"/>
    <n v="4551.22"/>
    <n v="1160.97"/>
  </r>
  <r>
    <n v="10075"/>
    <x v="9"/>
    <n v="9"/>
    <x v="68"/>
    <s v="CUST548"/>
    <x v="1"/>
    <x v="2"/>
    <s v="Bhubaneswar"/>
    <x v="1"/>
    <s v="Sofa"/>
    <n v="5"/>
    <n v="3528.7"/>
    <n v="957.99"/>
  </r>
  <r>
    <n v="10076"/>
    <x v="0"/>
    <n v="10"/>
    <x v="69"/>
    <s v="CUST701"/>
    <x v="1"/>
    <x v="0"/>
    <s v="Chandigarh"/>
    <x v="0"/>
    <s v="Binder"/>
    <n v="5"/>
    <n v="226.74"/>
    <n v="-43.12"/>
  </r>
  <r>
    <n v="10077"/>
    <x v="1"/>
    <n v="11"/>
    <x v="70"/>
    <s v="CUST933"/>
    <x v="2"/>
    <x v="2"/>
    <s v="Kolkata"/>
    <x v="1"/>
    <s v="Sofa"/>
    <n v="8"/>
    <n v="4588.76"/>
    <n v="379.11"/>
  </r>
  <r>
    <n v="10078"/>
    <x v="5"/>
    <n v="7"/>
    <x v="71"/>
    <s v="CUST810"/>
    <x v="2"/>
    <x v="0"/>
    <s v="Chandigarh"/>
    <x v="2"/>
    <s v="Monitor"/>
    <n v="6"/>
    <n v="1673.19"/>
    <n v="111.33"/>
  </r>
  <r>
    <n v="10079"/>
    <x v="5"/>
    <n v="7"/>
    <x v="72"/>
    <s v="CUST985"/>
    <x v="0"/>
    <x v="2"/>
    <s v="Bhubaneswar"/>
    <x v="0"/>
    <s v="Paper"/>
    <n v="8"/>
    <n v="531.49"/>
    <n v="48.52"/>
  </r>
  <r>
    <n v="10080"/>
    <x v="8"/>
    <n v="8"/>
    <x v="73"/>
    <s v="CUST878"/>
    <x v="1"/>
    <x v="0"/>
    <s v="Chandigarh"/>
    <x v="2"/>
    <s v="Laptop"/>
    <n v="4"/>
    <n v="2640.35"/>
    <n v="493.16"/>
  </r>
  <r>
    <n v="10081"/>
    <x v="1"/>
    <n v="11"/>
    <x v="74"/>
    <s v="CUST723"/>
    <x v="1"/>
    <x v="3"/>
    <s v="Chennai"/>
    <x v="0"/>
    <s v="Pen"/>
    <n v="5"/>
    <n v="2246.77"/>
    <n v="492.4"/>
  </r>
  <r>
    <n v="10082"/>
    <x v="8"/>
    <n v="8"/>
    <x v="75"/>
    <s v="CUST220"/>
    <x v="0"/>
    <x v="3"/>
    <s v="Chennai"/>
    <x v="0"/>
    <s v="Paper"/>
    <n v="7"/>
    <n v="556.73"/>
    <n v="74.650000000000006"/>
  </r>
  <r>
    <n v="10083"/>
    <x v="8"/>
    <n v="8"/>
    <x v="76"/>
    <s v="CUST664"/>
    <x v="1"/>
    <x v="3"/>
    <s v="Chennai"/>
    <x v="0"/>
    <s v="Binder"/>
    <n v="5"/>
    <n v="2135.9"/>
    <n v="317.22000000000003"/>
  </r>
  <r>
    <n v="10084"/>
    <x v="9"/>
    <n v="9"/>
    <x v="77"/>
    <s v="CUST373"/>
    <x v="1"/>
    <x v="1"/>
    <s v="Mumbai"/>
    <x v="0"/>
    <s v="Pen"/>
    <n v="2"/>
    <n v="1453.61"/>
    <n v="318.27999999999997"/>
  </r>
  <r>
    <n v="10085"/>
    <x v="0"/>
    <n v="10"/>
    <x v="78"/>
    <s v="CUST486"/>
    <x v="2"/>
    <x v="2"/>
    <s v="Bhubaneswar"/>
    <x v="0"/>
    <s v="Storage Box"/>
    <n v="3"/>
    <n v="2288.08"/>
    <n v="358.21"/>
  </r>
  <r>
    <n v="10086"/>
    <x v="8"/>
    <n v="8"/>
    <x v="79"/>
    <s v="CUST822"/>
    <x v="2"/>
    <x v="2"/>
    <s v="Kolkata"/>
    <x v="0"/>
    <s v="Pen"/>
    <n v="7"/>
    <n v="1244.46"/>
    <n v="299.14"/>
  </r>
  <r>
    <n v="10087"/>
    <x v="8"/>
    <n v="8"/>
    <x v="63"/>
    <s v="CUST202"/>
    <x v="0"/>
    <x v="1"/>
    <s v="Mumbai"/>
    <x v="2"/>
    <s v="Laptop"/>
    <n v="3"/>
    <n v="2561.23"/>
    <n v="418.99"/>
  </r>
  <r>
    <n v="10088"/>
    <x v="2"/>
    <n v="5"/>
    <x v="80"/>
    <s v="CUST446"/>
    <x v="0"/>
    <x v="1"/>
    <s v="Mumbai"/>
    <x v="0"/>
    <s v="Pen"/>
    <n v="7"/>
    <n v="4367.57"/>
    <n v="1269.98"/>
  </r>
  <r>
    <n v="10089"/>
    <x v="0"/>
    <n v="10"/>
    <x v="22"/>
    <s v="CUST136"/>
    <x v="0"/>
    <x v="1"/>
    <s v="Mumbai"/>
    <x v="2"/>
    <s v="Monitor"/>
    <n v="6"/>
    <n v="3171.32"/>
    <n v="813.36"/>
  </r>
  <r>
    <n v="10090"/>
    <x v="1"/>
    <n v="11"/>
    <x v="81"/>
    <s v="CUST820"/>
    <x v="1"/>
    <x v="0"/>
    <s v="Delhi"/>
    <x v="0"/>
    <s v="Binder"/>
    <n v="4"/>
    <n v="3759.16"/>
    <n v="585.96"/>
  </r>
  <r>
    <n v="10091"/>
    <x v="5"/>
    <n v="7"/>
    <x v="82"/>
    <s v="CUST541"/>
    <x v="1"/>
    <x v="1"/>
    <s v="Mumbai"/>
    <x v="0"/>
    <s v="Binder"/>
    <n v="1"/>
    <n v="325.36"/>
    <n v="51.69"/>
  </r>
  <r>
    <n v="10092"/>
    <x v="10"/>
    <n v="12"/>
    <x v="83"/>
    <s v="CUST346"/>
    <x v="2"/>
    <x v="3"/>
    <s v="Chennai"/>
    <x v="0"/>
    <s v="Pen"/>
    <n v="3"/>
    <n v="957.84"/>
    <n v="155.59"/>
  </r>
  <r>
    <n v="10093"/>
    <x v="2"/>
    <n v="5"/>
    <x v="84"/>
    <s v="CUST793"/>
    <x v="0"/>
    <x v="3"/>
    <s v="Bengaluru"/>
    <x v="2"/>
    <s v="Keyboard"/>
    <n v="8"/>
    <n v="1351.1"/>
    <n v="-9.73"/>
  </r>
  <r>
    <n v="10094"/>
    <x v="11"/>
    <n v="6"/>
    <x v="85"/>
    <s v="CUST303"/>
    <x v="2"/>
    <x v="3"/>
    <s v="Bengaluru"/>
    <x v="2"/>
    <s v="Keyboard"/>
    <n v="5"/>
    <n v="3230.8"/>
    <n v="479.24"/>
  </r>
  <r>
    <n v="10095"/>
    <x v="10"/>
    <n v="12"/>
    <x v="14"/>
    <s v="CUST505"/>
    <x v="2"/>
    <x v="1"/>
    <s v="Mumbai"/>
    <x v="1"/>
    <s v="Sofa"/>
    <n v="6"/>
    <n v="2916.58"/>
    <n v="840.12"/>
  </r>
  <r>
    <n v="10096"/>
    <x v="4"/>
    <n v="4"/>
    <x v="86"/>
    <s v="CUST751"/>
    <x v="1"/>
    <x v="0"/>
    <s v="Delhi"/>
    <x v="0"/>
    <s v="Storage Box"/>
    <n v="5"/>
    <n v="3901.13"/>
    <n v="339.29"/>
  </r>
  <r>
    <n v="10097"/>
    <x v="6"/>
    <n v="3"/>
    <x v="87"/>
    <s v="CUST192"/>
    <x v="2"/>
    <x v="2"/>
    <s v="Kolkata"/>
    <x v="0"/>
    <s v="Paper"/>
    <n v="1"/>
    <n v="1613.77"/>
    <n v="200.58"/>
  </r>
  <r>
    <n v="10098"/>
    <x v="9"/>
    <n v="9"/>
    <x v="88"/>
    <s v="CUST379"/>
    <x v="1"/>
    <x v="2"/>
    <s v="Bhubaneswar"/>
    <x v="1"/>
    <s v="Table"/>
    <n v="3"/>
    <n v="3953.91"/>
    <n v="1027.47"/>
  </r>
  <r>
    <n v="10099"/>
    <x v="4"/>
    <n v="4"/>
    <x v="89"/>
    <s v="CUST980"/>
    <x v="0"/>
    <x v="2"/>
    <s v="Bhubaneswar"/>
    <x v="2"/>
    <s v="Keyboard"/>
    <n v="2"/>
    <n v="2394.8200000000002"/>
    <n v="89.41"/>
  </r>
  <r>
    <n v="10100"/>
    <x v="10"/>
    <n v="12"/>
    <x v="90"/>
    <s v="CUST368"/>
    <x v="0"/>
    <x v="1"/>
    <s v="Pune"/>
    <x v="1"/>
    <s v="Sofa"/>
    <n v="1"/>
    <n v="1395.85"/>
    <n v="76.06"/>
  </r>
  <r>
    <n v="10101"/>
    <x v="1"/>
    <n v="11"/>
    <x v="91"/>
    <s v="CUST326"/>
    <x v="0"/>
    <x v="1"/>
    <s v="Pune"/>
    <x v="1"/>
    <s v="Table"/>
    <n v="8"/>
    <n v="222.62"/>
    <n v="4.2"/>
  </r>
  <r>
    <n v="10102"/>
    <x v="9"/>
    <n v="9"/>
    <x v="68"/>
    <s v="CUST218"/>
    <x v="1"/>
    <x v="0"/>
    <s v="Chandigarh"/>
    <x v="0"/>
    <s v="Binder"/>
    <n v="7"/>
    <n v="671.71"/>
    <n v="37.479999999999997"/>
  </r>
  <r>
    <n v="10103"/>
    <x v="8"/>
    <n v="8"/>
    <x v="47"/>
    <s v="CUST701"/>
    <x v="0"/>
    <x v="3"/>
    <s v="Bengaluru"/>
    <x v="2"/>
    <s v="Monitor"/>
    <n v="6"/>
    <n v="3385.38"/>
    <n v="703.62"/>
  </r>
  <r>
    <n v="10104"/>
    <x v="10"/>
    <n v="12"/>
    <x v="92"/>
    <s v="CUST479"/>
    <x v="1"/>
    <x v="3"/>
    <s v="Chennai"/>
    <x v="0"/>
    <s v="Paper"/>
    <n v="8"/>
    <n v="3116.7"/>
    <n v="859.55"/>
  </r>
  <r>
    <n v="10105"/>
    <x v="1"/>
    <n v="11"/>
    <x v="19"/>
    <s v="CUST467"/>
    <x v="1"/>
    <x v="1"/>
    <s v="Pune"/>
    <x v="1"/>
    <s v="Bookcase"/>
    <n v="2"/>
    <n v="4906.55"/>
    <n v="605.74"/>
  </r>
  <r>
    <n v="10106"/>
    <x v="3"/>
    <n v="1"/>
    <x v="46"/>
    <s v="CUST151"/>
    <x v="2"/>
    <x v="1"/>
    <s v="Pune"/>
    <x v="1"/>
    <s v="Chair"/>
    <n v="8"/>
    <n v="549.20000000000005"/>
    <n v="-7.37"/>
  </r>
  <r>
    <n v="10107"/>
    <x v="4"/>
    <n v="4"/>
    <x v="93"/>
    <s v="CUST436"/>
    <x v="1"/>
    <x v="3"/>
    <s v="Bengaluru"/>
    <x v="0"/>
    <s v="Pen"/>
    <n v="2"/>
    <n v="4166.1099999999997"/>
    <n v="726.89"/>
  </r>
  <r>
    <n v="10108"/>
    <x v="6"/>
    <n v="3"/>
    <x v="87"/>
    <s v="CUST115"/>
    <x v="2"/>
    <x v="0"/>
    <s v="Chandigarh"/>
    <x v="1"/>
    <s v="Table"/>
    <n v="5"/>
    <n v="4012.72"/>
    <n v="224.27"/>
  </r>
  <r>
    <n v="10109"/>
    <x v="7"/>
    <n v="2"/>
    <x v="94"/>
    <s v="CUST587"/>
    <x v="2"/>
    <x v="3"/>
    <s v="Chennai"/>
    <x v="1"/>
    <s v="Table"/>
    <n v="5"/>
    <n v="356.76"/>
    <n v="31.38"/>
  </r>
  <r>
    <n v="10110"/>
    <x v="11"/>
    <n v="6"/>
    <x v="85"/>
    <s v="CUST569"/>
    <x v="0"/>
    <x v="2"/>
    <s v="Kolkata"/>
    <x v="2"/>
    <s v="Mouse"/>
    <n v="1"/>
    <n v="3663.49"/>
    <n v="949.58"/>
  </r>
  <r>
    <n v="10111"/>
    <x v="7"/>
    <n v="2"/>
    <x v="25"/>
    <s v="CUST182"/>
    <x v="2"/>
    <x v="0"/>
    <s v="Delhi"/>
    <x v="2"/>
    <s v="Monitor"/>
    <n v="7"/>
    <n v="3461.88"/>
    <n v="506.44"/>
  </r>
  <r>
    <n v="10112"/>
    <x v="9"/>
    <n v="9"/>
    <x v="95"/>
    <s v="CUST719"/>
    <x v="2"/>
    <x v="3"/>
    <s v="Bengaluru"/>
    <x v="1"/>
    <s v="Bookcase"/>
    <n v="6"/>
    <n v="1966.43"/>
    <n v="362.51"/>
  </r>
  <r>
    <n v="10113"/>
    <x v="8"/>
    <n v="8"/>
    <x v="96"/>
    <s v="CUST508"/>
    <x v="2"/>
    <x v="0"/>
    <s v="Delhi"/>
    <x v="0"/>
    <s v="Pen"/>
    <n v="7"/>
    <n v="2312.62"/>
    <n v="213.84"/>
  </r>
  <r>
    <n v="10114"/>
    <x v="7"/>
    <n v="2"/>
    <x v="97"/>
    <s v="CUST193"/>
    <x v="1"/>
    <x v="0"/>
    <s v="Chandigarh"/>
    <x v="2"/>
    <s v="Keyboard"/>
    <n v="5"/>
    <n v="1934.08"/>
    <n v="78.209999999999994"/>
  </r>
  <r>
    <n v="10115"/>
    <x v="11"/>
    <n v="6"/>
    <x v="98"/>
    <s v="CUST786"/>
    <x v="1"/>
    <x v="0"/>
    <s v="Chandigarh"/>
    <x v="1"/>
    <s v="Bookcase"/>
    <n v="3"/>
    <n v="2826.22"/>
    <n v="499.52"/>
  </r>
  <r>
    <n v="10116"/>
    <x v="0"/>
    <n v="10"/>
    <x v="99"/>
    <s v="CUST619"/>
    <x v="1"/>
    <x v="1"/>
    <s v="Pune"/>
    <x v="0"/>
    <s v="Storage Box"/>
    <n v="1"/>
    <n v="4845.1499999999996"/>
    <n v="934.36"/>
  </r>
  <r>
    <n v="10117"/>
    <x v="0"/>
    <n v="10"/>
    <x v="100"/>
    <s v="CUST331"/>
    <x v="2"/>
    <x v="3"/>
    <s v="Chennai"/>
    <x v="1"/>
    <s v="Chair"/>
    <n v="6"/>
    <n v="4242.33"/>
    <n v="525.67999999999995"/>
  </r>
  <r>
    <n v="10118"/>
    <x v="3"/>
    <n v="1"/>
    <x v="101"/>
    <s v="CUST285"/>
    <x v="1"/>
    <x v="0"/>
    <s v="Chandigarh"/>
    <x v="1"/>
    <s v="Table"/>
    <n v="5"/>
    <n v="3543.22"/>
    <n v="416.88"/>
  </r>
  <r>
    <n v="10119"/>
    <x v="11"/>
    <n v="6"/>
    <x v="57"/>
    <s v="CUST261"/>
    <x v="2"/>
    <x v="1"/>
    <s v="Mumbai"/>
    <x v="1"/>
    <s v="Chair"/>
    <n v="2"/>
    <n v="3755.95"/>
    <n v="347.82"/>
  </r>
  <r>
    <n v="10120"/>
    <x v="7"/>
    <n v="2"/>
    <x v="102"/>
    <s v="CUST378"/>
    <x v="2"/>
    <x v="2"/>
    <s v="Bhubaneswar"/>
    <x v="0"/>
    <s v="Paper"/>
    <n v="1"/>
    <n v="862.34"/>
    <n v="200.79"/>
  </r>
  <r>
    <n v="10121"/>
    <x v="8"/>
    <n v="8"/>
    <x v="103"/>
    <s v="CUST213"/>
    <x v="2"/>
    <x v="1"/>
    <s v="Pune"/>
    <x v="0"/>
    <s v="Storage Box"/>
    <n v="7"/>
    <n v="1438.52"/>
    <n v="332.04"/>
  </r>
  <r>
    <n v="10122"/>
    <x v="4"/>
    <n v="4"/>
    <x v="104"/>
    <s v="CUST885"/>
    <x v="1"/>
    <x v="1"/>
    <s v="Pune"/>
    <x v="1"/>
    <s v="Table"/>
    <n v="7"/>
    <n v="4923.78"/>
    <n v="293.18"/>
  </r>
  <r>
    <n v="10123"/>
    <x v="9"/>
    <n v="9"/>
    <x v="105"/>
    <s v="CUST820"/>
    <x v="1"/>
    <x v="2"/>
    <s v="Bhubaneswar"/>
    <x v="2"/>
    <s v="Laptop"/>
    <n v="1"/>
    <n v="2537.19"/>
    <n v="387.1"/>
  </r>
  <r>
    <n v="10124"/>
    <x v="0"/>
    <n v="10"/>
    <x v="69"/>
    <s v="CUST539"/>
    <x v="0"/>
    <x v="2"/>
    <s v="Kolkata"/>
    <x v="2"/>
    <s v="Laptop"/>
    <n v="7"/>
    <n v="191.83"/>
    <n v="-32.44"/>
  </r>
  <r>
    <n v="10125"/>
    <x v="1"/>
    <n v="11"/>
    <x v="106"/>
    <s v="CUST571"/>
    <x v="0"/>
    <x v="1"/>
    <s v="Pune"/>
    <x v="2"/>
    <s v="Laptop"/>
    <n v="7"/>
    <n v="202.2"/>
    <n v="-53.61"/>
  </r>
  <r>
    <n v="10126"/>
    <x v="11"/>
    <n v="6"/>
    <x v="107"/>
    <s v="CUST863"/>
    <x v="2"/>
    <x v="2"/>
    <s v="Kolkata"/>
    <x v="2"/>
    <s v="Laptop"/>
    <n v="4"/>
    <n v="2234.81"/>
    <n v="327.61"/>
  </r>
  <r>
    <n v="10127"/>
    <x v="11"/>
    <n v="6"/>
    <x v="108"/>
    <s v="CUST844"/>
    <x v="0"/>
    <x v="3"/>
    <s v="Chennai"/>
    <x v="1"/>
    <s v="Chair"/>
    <n v="2"/>
    <n v="2699.96"/>
    <n v="188.26"/>
  </r>
  <r>
    <n v="10128"/>
    <x v="10"/>
    <n v="12"/>
    <x v="39"/>
    <s v="CUST177"/>
    <x v="1"/>
    <x v="3"/>
    <s v="Bengaluru"/>
    <x v="1"/>
    <s v="Table"/>
    <n v="5"/>
    <n v="1066.6300000000001"/>
    <n v="137.94"/>
  </r>
  <r>
    <n v="10129"/>
    <x v="7"/>
    <n v="2"/>
    <x v="97"/>
    <s v="CUST580"/>
    <x v="2"/>
    <x v="1"/>
    <s v="Pune"/>
    <x v="0"/>
    <s v="Storage Box"/>
    <n v="6"/>
    <n v="4334.8100000000004"/>
    <n v="881.36"/>
  </r>
  <r>
    <n v="10130"/>
    <x v="3"/>
    <n v="1"/>
    <x v="13"/>
    <s v="CUST477"/>
    <x v="2"/>
    <x v="2"/>
    <s v="Bhubaneswar"/>
    <x v="0"/>
    <s v="Paper"/>
    <n v="6"/>
    <n v="2585.9499999999998"/>
    <n v="284.77999999999997"/>
  </r>
  <r>
    <n v="10131"/>
    <x v="3"/>
    <n v="1"/>
    <x v="109"/>
    <s v="CUST560"/>
    <x v="0"/>
    <x v="0"/>
    <s v="Delhi"/>
    <x v="0"/>
    <s v="Storage Box"/>
    <n v="8"/>
    <n v="2943.61"/>
    <n v="775.51"/>
  </r>
  <r>
    <n v="10132"/>
    <x v="11"/>
    <n v="6"/>
    <x v="110"/>
    <s v="CUST831"/>
    <x v="1"/>
    <x v="3"/>
    <s v="Chennai"/>
    <x v="0"/>
    <s v="Storage Box"/>
    <n v="3"/>
    <n v="4792.84"/>
    <n v="698.37"/>
  </r>
  <r>
    <n v="10133"/>
    <x v="2"/>
    <n v="5"/>
    <x v="111"/>
    <s v="CUST496"/>
    <x v="2"/>
    <x v="3"/>
    <s v="Bengaluru"/>
    <x v="1"/>
    <s v="Sofa"/>
    <n v="8"/>
    <n v="2667.94"/>
    <n v="503.74"/>
  </r>
  <r>
    <n v="10134"/>
    <x v="2"/>
    <n v="5"/>
    <x v="112"/>
    <s v="CUST841"/>
    <x v="0"/>
    <x v="2"/>
    <s v="Kolkata"/>
    <x v="0"/>
    <s v="Binder"/>
    <n v="2"/>
    <n v="1715.48"/>
    <n v="286.41000000000003"/>
  </r>
  <r>
    <n v="10135"/>
    <x v="6"/>
    <n v="3"/>
    <x v="29"/>
    <s v="CUST709"/>
    <x v="0"/>
    <x v="3"/>
    <s v="Chennai"/>
    <x v="1"/>
    <s v="Table"/>
    <n v="6"/>
    <n v="1620.14"/>
    <n v="280.52"/>
  </r>
  <r>
    <n v="10136"/>
    <x v="10"/>
    <n v="12"/>
    <x v="113"/>
    <s v="CUST639"/>
    <x v="1"/>
    <x v="0"/>
    <s v="Chandigarh"/>
    <x v="0"/>
    <s v="Storage Box"/>
    <n v="6"/>
    <n v="4084.61"/>
    <n v="805.63"/>
  </r>
  <r>
    <n v="10137"/>
    <x v="9"/>
    <n v="9"/>
    <x v="114"/>
    <s v="CUST296"/>
    <x v="1"/>
    <x v="1"/>
    <s v="Pune"/>
    <x v="1"/>
    <s v="Bookcase"/>
    <n v="5"/>
    <n v="983.29"/>
    <n v="7.05"/>
  </r>
  <r>
    <n v="10138"/>
    <x v="9"/>
    <n v="9"/>
    <x v="115"/>
    <s v="CUST138"/>
    <x v="0"/>
    <x v="3"/>
    <s v="Bengaluru"/>
    <x v="1"/>
    <s v="Bookcase"/>
    <n v="2"/>
    <n v="2587.6799999999998"/>
    <n v="404.71"/>
  </r>
  <r>
    <n v="10139"/>
    <x v="6"/>
    <n v="3"/>
    <x v="67"/>
    <s v="CUST838"/>
    <x v="2"/>
    <x v="2"/>
    <s v="Kolkata"/>
    <x v="0"/>
    <s v="Storage Box"/>
    <n v="3"/>
    <n v="895.01"/>
    <n v="153.66"/>
  </r>
  <r>
    <n v="10140"/>
    <x v="4"/>
    <n v="4"/>
    <x v="93"/>
    <s v="CUST646"/>
    <x v="1"/>
    <x v="0"/>
    <s v="Chandigarh"/>
    <x v="2"/>
    <s v="Mouse"/>
    <n v="8"/>
    <n v="3091.92"/>
    <n v="657.8"/>
  </r>
  <r>
    <n v="10141"/>
    <x v="9"/>
    <n v="9"/>
    <x v="116"/>
    <s v="CUST528"/>
    <x v="1"/>
    <x v="2"/>
    <s v="Bhubaneswar"/>
    <x v="1"/>
    <s v="Bookcase"/>
    <n v="8"/>
    <n v="2362.23"/>
    <n v="246.33"/>
  </r>
  <r>
    <n v="10142"/>
    <x v="9"/>
    <n v="9"/>
    <x v="117"/>
    <s v="CUST971"/>
    <x v="1"/>
    <x v="3"/>
    <s v="Bengaluru"/>
    <x v="2"/>
    <s v="Laptop"/>
    <n v="8"/>
    <n v="4383.17"/>
    <n v="816.56"/>
  </r>
  <r>
    <n v="10143"/>
    <x v="4"/>
    <n v="4"/>
    <x v="118"/>
    <s v="CUST936"/>
    <x v="2"/>
    <x v="2"/>
    <s v="Kolkata"/>
    <x v="1"/>
    <s v="Bookcase"/>
    <n v="8"/>
    <n v="4536"/>
    <n v="350.15"/>
  </r>
  <r>
    <n v="10144"/>
    <x v="5"/>
    <n v="7"/>
    <x v="82"/>
    <s v="CUST329"/>
    <x v="1"/>
    <x v="2"/>
    <s v="Kolkata"/>
    <x v="2"/>
    <s v="Laptop"/>
    <n v="7"/>
    <n v="2559.83"/>
    <n v="179.43"/>
  </r>
  <r>
    <n v="10145"/>
    <x v="10"/>
    <n v="12"/>
    <x v="53"/>
    <s v="CUST951"/>
    <x v="1"/>
    <x v="2"/>
    <s v="Kolkata"/>
    <x v="0"/>
    <s v="Binder"/>
    <n v="3"/>
    <n v="774.24"/>
    <n v="11.26"/>
  </r>
  <r>
    <n v="10146"/>
    <x v="1"/>
    <n v="11"/>
    <x v="119"/>
    <s v="CUST640"/>
    <x v="2"/>
    <x v="1"/>
    <s v="Pune"/>
    <x v="0"/>
    <s v="Paper"/>
    <n v="2"/>
    <n v="193.12"/>
    <n v="5.12"/>
  </r>
  <r>
    <n v="10147"/>
    <x v="8"/>
    <n v="8"/>
    <x v="120"/>
    <s v="CUST164"/>
    <x v="1"/>
    <x v="0"/>
    <s v="Chandigarh"/>
    <x v="1"/>
    <s v="Bookcase"/>
    <n v="2"/>
    <n v="333.97"/>
    <n v="-27.64"/>
  </r>
  <r>
    <n v="10148"/>
    <x v="0"/>
    <n v="10"/>
    <x v="121"/>
    <s v="CUST526"/>
    <x v="1"/>
    <x v="1"/>
    <s v="Mumbai"/>
    <x v="0"/>
    <s v="Pen"/>
    <n v="3"/>
    <n v="1527.23"/>
    <n v="41.68"/>
  </r>
  <r>
    <n v="10149"/>
    <x v="5"/>
    <n v="7"/>
    <x v="82"/>
    <s v="CUST359"/>
    <x v="0"/>
    <x v="0"/>
    <s v="Chandigarh"/>
    <x v="1"/>
    <s v="Chair"/>
    <n v="7"/>
    <n v="4379.32"/>
    <n v="227.94"/>
  </r>
  <r>
    <n v="10150"/>
    <x v="11"/>
    <n v="6"/>
    <x v="122"/>
    <s v="CUST236"/>
    <x v="1"/>
    <x v="0"/>
    <s v="Chandigarh"/>
    <x v="1"/>
    <s v="Bookcase"/>
    <n v="4"/>
    <n v="3691.41"/>
    <n v="687.21"/>
  </r>
  <r>
    <n v="10151"/>
    <x v="6"/>
    <n v="3"/>
    <x v="123"/>
    <s v="CUST164"/>
    <x v="0"/>
    <x v="2"/>
    <s v="Bhubaneswar"/>
    <x v="0"/>
    <s v="Pen"/>
    <n v="8"/>
    <n v="4906.01"/>
    <n v="813.99"/>
  </r>
  <r>
    <n v="10152"/>
    <x v="11"/>
    <n v="6"/>
    <x v="107"/>
    <s v="CUST627"/>
    <x v="2"/>
    <x v="1"/>
    <s v="Mumbai"/>
    <x v="2"/>
    <s v="Mouse"/>
    <n v="1"/>
    <n v="3976.44"/>
    <n v="1047.8399999999999"/>
  </r>
  <r>
    <n v="10153"/>
    <x v="11"/>
    <n v="6"/>
    <x v="124"/>
    <s v="CUST379"/>
    <x v="1"/>
    <x v="1"/>
    <s v="Pune"/>
    <x v="1"/>
    <s v="Table"/>
    <n v="5"/>
    <n v="1849.17"/>
    <n v="366.86"/>
  </r>
  <r>
    <n v="10154"/>
    <x v="5"/>
    <n v="7"/>
    <x v="125"/>
    <s v="CUST916"/>
    <x v="0"/>
    <x v="2"/>
    <s v="Bhubaneswar"/>
    <x v="2"/>
    <s v="Monitor"/>
    <n v="7"/>
    <n v="1761.28"/>
    <n v="101.12"/>
  </r>
  <r>
    <n v="10155"/>
    <x v="2"/>
    <n v="5"/>
    <x v="126"/>
    <s v="CUST428"/>
    <x v="1"/>
    <x v="2"/>
    <s v="Kolkata"/>
    <x v="0"/>
    <s v="Storage Box"/>
    <n v="2"/>
    <n v="2209.98"/>
    <n v="642.24"/>
  </r>
  <r>
    <n v="10156"/>
    <x v="8"/>
    <n v="8"/>
    <x v="127"/>
    <s v="CUST459"/>
    <x v="2"/>
    <x v="0"/>
    <s v="Chandigarh"/>
    <x v="0"/>
    <s v="Binder"/>
    <n v="5"/>
    <n v="2284.9899999999998"/>
    <n v="507.55"/>
  </r>
  <r>
    <n v="10157"/>
    <x v="10"/>
    <n v="12"/>
    <x v="128"/>
    <s v="CUST752"/>
    <x v="2"/>
    <x v="0"/>
    <s v="Chandigarh"/>
    <x v="0"/>
    <s v="Storage Box"/>
    <n v="5"/>
    <n v="3233.4"/>
    <n v="795.73"/>
  </r>
  <r>
    <n v="10158"/>
    <x v="5"/>
    <n v="7"/>
    <x v="129"/>
    <s v="CUST470"/>
    <x v="2"/>
    <x v="2"/>
    <s v="Kolkata"/>
    <x v="1"/>
    <s v="Table"/>
    <n v="8"/>
    <n v="270.51"/>
    <n v="-59.78"/>
  </r>
  <r>
    <n v="10159"/>
    <x v="9"/>
    <n v="9"/>
    <x v="12"/>
    <s v="CUST475"/>
    <x v="2"/>
    <x v="0"/>
    <s v="Delhi"/>
    <x v="0"/>
    <s v="Storage Box"/>
    <n v="6"/>
    <n v="1922.87"/>
    <n v="405.58"/>
  </r>
  <r>
    <n v="10160"/>
    <x v="0"/>
    <n v="10"/>
    <x v="130"/>
    <s v="CUST220"/>
    <x v="2"/>
    <x v="2"/>
    <s v="Bhubaneswar"/>
    <x v="1"/>
    <s v="Chair"/>
    <n v="1"/>
    <n v="3704.81"/>
    <n v="608.76"/>
  </r>
  <r>
    <n v="10161"/>
    <x v="6"/>
    <n v="3"/>
    <x v="131"/>
    <s v="CUST830"/>
    <x v="2"/>
    <x v="2"/>
    <s v="Bhubaneswar"/>
    <x v="1"/>
    <s v="Bookcase"/>
    <n v="8"/>
    <n v="1080.8699999999999"/>
    <n v="83.31"/>
  </r>
  <r>
    <n v="10162"/>
    <x v="6"/>
    <n v="3"/>
    <x v="132"/>
    <s v="CUST828"/>
    <x v="0"/>
    <x v="0"/>
    <s v="Chandigarh"/>
    <x v="0"/>
    <s v="Binder"/>
    <n v="2"/>
    <n v="2794.99"/>
    <n v="312.64"/>
  </r>
  <r>
    <n v="10163"/>
    <x v="9"/>
    <n v="9"/>
    <x v="68"/>
    <s v="CUST126"/>
    <x v="2"/>
    <x v="3"/>
    <s v="Chennai"/>
    <x v="0"/>
    <s v="Pen"/>
    <n v="2"/>
    <n v="4927.1499999999996"/>
    <n v="1198.3399999999999"/>
  </r>
  <r>
    <n v="10164"/>
    <x v="9"/>
    <n v="9"/>
    <x v="133"/>
    <s v="CUST638"/>
    <x v="2"/>
    <x v="2"/>
    <s v="Bhubaneswar"/>
    <x v="0"/>
    <s v="Pen"/>
    <n v="2"/>
    <n v="422.17"/>
    <n v="-8.56"/>
  </r>
  <r>
    <n v="10165"/>
    <x v="0"/>
    <n v="10"/>
    <x v="134"/>
    <s v="CUST755"/>
    <x v="0"/>
    <x v="1"/>
    <s v="Mumbai"/>
    <x v="1"/>
    <s v="Bookcase"/>
    <n v="2"/>
    <n v="2304.88"/>
    <n v="472.68"/>
  </r>
  <r>
    <n v="10166"/>
    <x v="10"/>
    <n v="12"/>
    <x v="135"/>
    <s v="CUST330"/>
    <x v="2"/>
    <x v="3"/>
    <s v="Bengaluru"/>
    <x v="2"/>
    <s v="Laptop"/>
    <n v="2"/>
    <n v="2638.7"/>
    <n v="316.36"/>
  </r>
  <r>
    <n v="10167"/>
    <x v="9"/>
    <n v="9"/>
    <x v="136"/>
    <s v="CUST756"/>
    <x v="1"/>
    <x v="2"/>
    <s v="Kolkata"/>
    <x v="2"/>
    <s v="Mouse"/>
    <n v="5"/>
    <n v="713.33"/>
    <n v="36.32"/>
  </r>
  <r>
    <n v="10168"/>
    <x v="1"/>
    <n v="11"/>
    <x v="137"/>
    <s v="CUST889"/>
    <x v="0"/>
    <x v="3"/>
    <s v="Bengaluru"/>
    <x v="0"/>
    <s v="Binder"/>
    <n v="1"/>
    <n v="4143.66"/>
    <n v="232.03"/>
  </r>
  <r>
    <n v="10169"/>
    <x v="11"/>
    <n v="6"/>
    <x v="85"/>
    <s v="CUST594"/>
    <x v="1"/>
    <x v="2"/>
    <s v="Kolkata"/>
    <x v="0"/>
    <s v="Storage Box"/>
    <n v="1"/>
    <n v="2540.39"/>
    <n v="496.36"/>
  </r>
  <r>
    <n v="10170"/>
    <x v="11"/>
    <n v="6"/>
    <x v="57"/>
    <s v="CUST721"/>
    <x v="1"/>
    <x v="1"/>
    <s v="Pune"/>
    <x v="2"/>
    <s v="Laptop"/>
    <n v="1"/>
    <n v="874.59"/>
    <n v="88.16"/>
  </r>
  <r>
    <n v="10171"/>
    <x v="11"/>
    <n v="6"/>
    <x v="138"/>
    <s v="CUST347"/>
    <x v="2"/>
    <x v="2"/>
    <s v="Bhubaneswar"/>
    <x v="0"/>
    <s v="Binder"/>
    <n v="7"/>
    <n v="740.75"/>
    <n v="49.49"/>
  </r>
  <r>
    <n v="10172"/>
    <x v="1"/>
    <n v="11"/>
    <x v="139"/>
    <s v="CUST528"/>
    <x v="1"/>
    <x v="0"/>
    <s v="Chandigarh"/>
    <x v="2"/>
    <s v="Mouse"/>
    <n v="3"/>
    <n v="574.38"/>
    <n v="31.98"/>
  </r>
  <r>
    <n v="10173"/>
    <x v="9"/>
    <n v="9"/>
    <x v="140"/>
    <s v="CUST415"/>
    <x v="2"/>
    <x v="3"/>
    <s v="Chennai"/>
    <x v="0"/>
    <s v="Binder"/>
    <n v="4"/>
    <n v="3839.29"/>
    <n v="618.74"/>
  </r>
  <r>
    <n v="10174"/>
    <x v="9"/>
    <n v="9"/>
    <x v="141"/>
    <s v="CUST711"/>
    <x v="0"/>
    <x v="0"/>
    <s v="Delhi"/>
    <x v="2"/>
    <s v="Monitor"/>
    <n v="4"/>
    <n v="1154.21"/>
    <n v="154.49"/>
  </r>
  <r>
    <n v="10175"/>
    <x v="5"/>
    <n v="7"/>
    <x v="72"/>
    <s v="CUST474"/>
    <x v="1"/>
    <x v="1"/>
    <s v="Pune"/>
    <x v="0"/>
    <s v="Paper"/>
    <n v="2"/>
    <n v="2211.5500000000002"/>
    <n v="525.73"/>
  </r>
  <r>
    <n v="10176"/>
    <x v="0"/>
    <n v="10"/>
    <x v="142"/>
    <s v="CUST386"/>
    <x v="0"/>
    <x v="1"/>
    <s v="Mumbai"/>
    <x v="0"/>
    <s v="Pen"/>
    <n v="6"/>
    <n v="2810.79"/>
    <n v="141.78"/>
  </r>
  <r>
    <n v="10177"/>
    <x v="6"/>
    <n v="3"/>
    <x v="143"/>
    <s v="CUST303"/>
    <x v="0"/>
    <x v="0"/>
    <s v="Delhi"/>
    <x v="1"/>
    <s v="Sofa"/>
    <n v="6"/>
    <n v="3995"/>
    <n v="444.52"/>
  </r>
  <r>
    <n v="10178"/>
    <x v="6"/>
    <n v="3"/>
    <x v="30"/>
    <s v="CUST720"/>
    <x v="0"/>
    <x v="1"/>
    <s v="Mumbai"/>
    <x v="1"/>
    <s v="Chair"/>
    <n v="3"/>
    <n v="3596.6"/>
    <n v="850.78"/>
  </r>
  <r>
    <n v="10179"/>
    <x v="0"/>
    <n v="10"/>
    <x v="144"/>
    <s v="CUST444"/>
    <x v="0"/>
    <x v="3"/>
    <s v="Chennai"/>
    <x v="0"/>
    <s v="Binder"/>
    <n v="3"/>
    <n v="2025.48"/>
    <n v="329.19"/>
  </r>
  <r>
    <n v="10180"/>
    <x v="11"/>
    <n v="6"/>
    <x v="145"/>
    <s v="CUST915"/>
    <x v="0"/>
    <x v="1"/>
    <s v="Pune"/>
    <x v="2"/>
    <s v="Laptop"/>
    <n v="6"/>
    <n v="1723.07"/>
    <n v="91.71"/>
  </r>
  <r>
    <n v="10181"/>
    <x v="1"/>
    <n v="11"/>
    <x v="146"/>
    <s v="CUST893"/>
    <x v="2"/>
    <x v="0"/>
    <s v="Chandigarh"/>
    <x v="2"/>
    <s v="Mouse"/>
    <n v="1"/>
    <n v="2959.26"/>
    <n v="211.21"/>
  </r>
  <r>
    <n v="10182"/>
    <x v="10"/>
    <n v="12"/>
    <x v="92"/>
    <s v="CUST308"/>
    <x v="2"/>
    <x v="3"/>
    <s v="Bengaluru"/>
    <x v="1"/>
    <s v="Chair"/>
    <n v="4"/>
    <n v="192.79"/>
    <n v="9.6199999999999992"/>
  </r>
  <r>
    <n v="10183"/>
    <x v="5"/>
    <n v="7"/>
    <x v="147"/>
    <s v="CUST421"/>
    <x v="1"/>
    <x v="1"/>
    <s v="Mumbai"/>
    <x v="0"/>
    <s v="Pen"/>
    <n v="4"/>
    <n v="2848.35"/>
    <n v="805.33"/>
  </r>
  <r>
    <n v="10184"/>
    <x v="0"/>
    <n v="10"/>
    <x v="148"/>
    <s v="CUST405"/>
    <x v="1"/>
    <x v="1"/>
    <s v="Pune"/>
    <x v="0"/>
    <s v="Binder"/>
    <n v="5"/>
    <n v="3089.38"/>
    <n v="278.31"/>
  </r>
  <r>
    <n v="10185"/>
    <x v="2"/>
    <n v="5"/>
    <x v="62"/>
    <s v="CUST394"/>
    <x v="1"/>
    <x v="2"/>
    <s v="Bhubaneswar"/>
    <x v="0"/>
    <s v="Pen"/>
    <n v="8"/>
    <n v="1653.5"/>
    <n v="133.49"/>
  </r>
  <r>
    <n v="10186"/>
    <x v="8"/>
    <n v="8"/>
    <x v="73"/>
    <s v="CUST771"/>
    <x v="2"/>
    <x v="1"/>
    <s v="Pune"/>
    <x v="2"/>
    <s v="Mouse"/>
    <n v="5"/>
    <n v="306.13"/>
    <n v="80.52"/>
  </r>
  <r>
    <n v="10187"/>
    <x v="2"/>
    <n v="5"/>
    <x v="149"/>
    <s v="CUST151"/>
    <x v="0"/>
    <x v="1"/>
    <s v="Mumbai"/>
    <x v="1"/>
    <s v="Bookcase"/>
    <n v="5"/>
    <n v="772.64"/>
    <n v="98.87"/>
  </r>
  <r>
    <n v="10188"/>
    <x v="6"/>
    <n v="3"/>
    <x v="150"/>
    <s v="CUST105"/>
    <x v="0"/>
    <x v="3"/>
    <s v="Bengaluru"/>
    <x v="1"/>
    <s v="Chair"/>
    <n v="7"/>
    <n v="1718.44"/>
    <n v="220.75"/>
  </r>
  <r>
    <n v="10189"/>
    <x v="2"/>
    <n v="5"/>
    <x v="151"/>
    <s v="CUST761"/>
    <x v="1"/>
    <x v="3"/>
    <s v="Chennai"/>
    <x v="0"/>
    <s v="Storage Box"/>
    <n v="8"/>
    <n v="3287.64"/>
    <n v="756.95"/>
  </r>
  <r>
    <n v="10190"/>
    <x v="3"/>
    <n v="1"/>
    <x v="152"/>
    <s v="CUST956"/>
    <x v="2"/>
    <x v="0"/>
    <s v="Delhi"/>
    <x v="0"/>
    <s v="Paper"/>
    <n v="3"/>
    <n v="2147.64"/>
    <n v="463.71"/>
  </r>
  <r>
    <n v="10191"/>
    <x v="11"/>
    <n v="6"/>
    <x v="44"/>
    <s v="CUST391"/>
    <x v="2"/>
    <x v="1"/>
    <s v="Mumbai"/>
    <x v="0"/>
    <s v="Binder"/>
    <n v="1"/>
    <n v="145.41"/>
    <n v="17.190000000000001"/>
  </r>
  <r>
    <n v="10192"/>
    <x v="8"/>
    <n v="8"/>
    <x v="120"/>
    <s v="CUST763"/>
    <x v="2"/>
    <x v="1"/>
    <s v="Mumbai"/>
    <x v="0"/>
    <s v="Storage Box"/>
    <n v="5"/>
    <n v="1044.78"/>
    <n v="65.41"/>
  </r>
  <r>
    <n v="10193"/>
    <x v="1"/>
    <n v="11"/>
    <x v="6"/>
    <s v="CUST515"/>
    <x v="2"/>
    <x v="3"/>
    <s v="Bengaluru"/>
    <x v="0"/>
    <s v="Binder"/>
    <n v="5"/>
    <n v="2882.13"/>
    <n v="672.2"/>
  </r>
  <r>
    <n v="10194"/>
    <x v="3"/>
    <n v="1"/>
    <x v="101"/>
    <s v="CUST367"/>
    <x v="2"/>
    <x v="2"/>
    <s v="Kolkata"/>
    <x v="2"/>
    <s v="Laptop"/>
    <n v="3"/>
    <n v="4910.26"/>
    <n v="738.04"/>
  </r>
  <r>
    <n v="10195"/>
    <x v="5"/>
    <n v="7"/>
    <x v="153"/>
    <s v="CUST809"/>
    <x v="1"/>
    <x v="3"/>
    <s v="Chennai"/>
    <x v="2"/>
    <s v="Keyboard"/>
    <n v="5"/>
    <n v="2954.06"/>
    <n v="544.63"/>
  </r>
  <r>
    <n v="10196"/>
    <x v="10"/>
    <n v="12"/>
    <x v="154"/>
    <s v="CUST888"/>
    <x v="2"/>
    <x v="0"/>
    <s v="Delhi"/>
    <x v="2"/>
    <s v="Keyboard"/>
    <n v="3"/>
    <n v="2086.54"/>
    <n v="276.95"/>
  </r>
  <r>
    <n v="10197"/>
    <x v="1"/>
    <n v="11"/>
    <x v="155"/>
    <s v="CUST482"/>
    <x v="2"/>
    <x v="0"/>
    <s v="Chandigarh"/>
    <x v="2"/>
    <s v="Mouse"/>
    <n v="4"/>
    <n v="4791.07"/>
    <n v="766.81"/>
  </r>
  <r>
    <n v="10198"/>
    <x v="7"/>
    <n v="2"/>
    <x v="156"/>
    <s v="CUST163"/>
    <x v="0"/>
    <x v="1"/>
    <s v="Mumbai"/>
    <x v="1"/>
    <s v="Chair"/>
    <n v="8"/>
    <n v="2688.05"/>
    <n v="285.8"/>
  </r>
  <r>
    <n v="10199"/>
    <x v="7"/>
    <n v="2"/>
    <x v="9"/>
    <s v="CUST622"/>
    <x v="2"/>
    <x v="3"/>
    <s v="Bengaluru"/>
    <x v="1"/>
    <s v="Bookcase"/>
    <n v="8"/>
    <n v="669.58"/>
    <n v="9.5500000000000007"/>
  </r>
  <r>
    <n v="10200"/>
    <x v="11"/>
    <n v="6"/>
    <x v="145"/>
    <s v="CUST840"/>
    <x v="1"/>
    <x v="0"/>
    <s v="Chandigarh"/>
    <x v="1"/>
    <s v="Sofa"/>
    <n v="8"/>
    <n v="2863.16"/>
    <n v="475.86"/>
  </r>
  <r>
    <n v="10201"/>
    <x v="3"/>
    <n v="1"/>
    <x v="157"/>
    <s v="CUST170"/>
    <x v="2"/>
    <x v="1"/>
    <s v="Pune"/>
    <x v="1"/>
    <s v="Table"/>
    <n v="2"/>
    <n v="321.92"/>
    <n v="37.450000000000003"/>
  </r>
  <r>
    <n v="10202"/>
    <x v="8"/>
    <n v="8"/>
    <x v="54"/>
    <s v="CUST483"/>
    <x v="2"/>
    <x v="0"/>
    <s v="Chandigarh"/>
    <x v="2"/>
    <s v="Mouse"/>
    <n v="3"/>
    <n v="3852.56"/>
    <n v="1070.31"/>
  </r>
  <r>
    <n v="10203"/>
    <x v="0"/>
    <n v="10"/>
    <x v="36"/>
    <s v="CUST502"/>
    <x v="0"/>
    <x v="1"/>
    <s v="Pune"/>
    <x v="2"/>
    <s v="Laptop"/>
    <n v="3"/>
    <n v="3302.32"/>
    <n v="434.38"/>
  </r>
  <r>
    <n v="10204"/>
    <x v="5"/>
    <n v="7"/>
    <x v="50"/>
    <s v="CUST943"/>
    <x v="1"/>
    <x v="3"/>
    <s v="Bengaluru"/>
    <x v="1"/>
    <s v="Chair"/>
    <n v="5"/>
    <n v="2368.7199999999998"/>
    <n v="501.86"/>
  </r>
  <r>
    <n v="10205"/>
    <x v="3"/>
    <n v="1"/>
    <x v="158"/>
    <s v="CUST928"/>
    <x v="0"/>
    <x v="3"/>
    <s v="Chennai"/>
    <x v="2"/>
    <s v="Mouse"/>
    <n v="5"/>
    <n v="1023.55"/>
    <n v="198.58"/>
  </r>
  <r>
    <n v="10206"/>
    <x v="10"/>
    <n v="12"/>
    <x v="154"/>
    <s v="CUST993"/>
    <x v="1"/>
    <x v="1"/>
    <s v="Mumbai"/>
    <x v="1"/>
    <s v="Table"/>
    <n v="2"/>
    <n v="594.39"/>
    <n v="-25.07"/>
  </r>
  <r>
    <n v="10207"/>
    <x v="6"/>
    <n v="3"/>
    <x v="8"/>
    <s v="CUST615"/>
    <x v="2"/>
    <x v="3"/>
    <s v="Bengaluru"/>
    <x v="2"/>
    <s v="Monitor"/>
    <n v="4"/>
    <n v="2744.82"/>
    <n v="577.29999999999995"/>
  </r>
  <r>
    <n v="10208"/>
    <x v="4"/>
    <n v="4"/>
    <x v="118"/>
    <s v="CUST523"/>
    <x v="2"/>
    <x v="3"/>
    <s v="Chennai"/>
    <x v="0"/>
    <s v="Binder"/>
    <n v="4"/>
    <n v="1578.65"/>
    <n v="69.45"/>
  </r>
  <r>
    <n v="10209"/>
    <x v="1"/>
    <n v="11"/>
    <x v="159"/>
    <s v="CUST787"/>
    <x v="2"/>
    <x v="2"/>
    <s v="Kolkata"/>
    <x v="0"/>
    <s v="Pen"/>
    <n v="7"/>
    <n v="2823.67"/>
    <n v="139.84"/>
  </r>
  <r>
    <n v="10210"/>
    <x v="4"/>
    <n v="4"/>
    <x v="89"/>
    <s v="CUST407"/>
    <x v="0"/>
    <x v="2"/>
    <s v="Bhubaneswar"/>
    <x v="2"/>
    <s v="Mouse"/>
    <n v="5"/>
    <n v="1944.65"/>
    <n v="416.65"/>
  </r>
  <r>
    <n v="10211"/>
    <x v="4"/>
    <n v="4"/>
    <x v="160"/>
    <s v="CUST438"/>
    <x v="0"/>
    <x v="3"/>
    <s v="Chennai"/>
    <x v="1"/>
    <s v="Sofa"/>
    <n v="7"/>
    <n v="2830.71"/>
    <n v="212.14"/>
  </r>
  <r>
    <n v="10212"/>
    <x v="3"/>
    <n v="1"/>
    <x v="31"/>
    <s v="CUST994"/>
    <x v="1"/>
    <x v="0"/>
    <s v="Chandigarh"/>
    <x v="2"/>
    <s v="Laptop"/>
    <n v="4"/>
    <n v="352.53"/>
    <n v="-9.6300000000000008"/>
  </r>
  <r>
    <n v="10213"/>
    <x v="4"/>
    <n v="4"/>
    <x v="161"/>
    <s v="CUST859"/>
    <x v="1"/>
    <x v="3"/>
    <s v="Bengaluru"/>
    <x v="2"/>
    <s v="Mouse"/>
    <n v="6"/>
    <n v="1585.62"/>
    <n v="418.43"/>
  </r>
  <r>
    <n v="10214"/>
    <x v="5"/>
    <n v="7"/>
    <x v="50"/>
    <s v="CUST577"/>
    <x v="0"/>
    <x v="1"/>
    <s v="Mumbai"/>
    <x v="0"/>
    <s v="Pen"/>
    <n v="7"/>
    <n v="4584.12"/>
    <n v="784.35"/>
  </r>
  <r>
    <n v="10215"/>
    <x v="11"/>
    <n v="6"/>
    <x v="138"/>
    <s v="CUST308"/>
    <x v="2"/>
    <x v="2"/>
    <s v="Bhubaneswar"/>
    <x v="2"/>
    <s v="Keyboard"/>
    <n v="8"/>
    <n v="2383.42"/>
    <n v="525.29"/>
  </r>
  <r>
    <n v="10216"/>
    <x v="8"/>
    <n v="8"/>
    <x v="162"/>
    <s v="CUST402"/>
    <x v="1"/>
    <x v="2"/>
    <s v="Bhubaneswar"/>
    <x v="1"/>
    <s v="Table"/>
    <n v="3"/>
    <n v="179.48"/>
    <n v="-24.6"/>
  </r>
  <r>
    <n v="10217"/>
    <x v="2"/>
    <n v="5"/>
    <x v="163"/>
    <s v="CUST881"/>
    <x v="2"/>
    <x v="3"/>
    <s v="Chennai"/>
    <x v="1"/>
    <s v="Sofa"/>
    <n v="4"/>
    <n v="2546.58"/>
    <n v="475.6"/>
  </r>
  <r>
    <n v="10218"/>
    <x v="0"/>
    <n v="10"/>
    <x v="22"/>
    <s v="CUST757"/>
    <x v="1"/>
    <x v="1"/>
    <s v="Pune"/>
    <x v="1"/>
    <s v="Bookcase"/>
    <n v="3"/>
    <n v="785.8"/>
    <n v="128.25"/>
  </r>
  <r>
    <n v="10219"/>
    <x v="10"/>
    <n v="12"/>
    <x v="164"/>
    <s v="CUST254"/>
    <x v="1"/>
    <x v="0"/>
    <s v="Delhi"/>
    <x v="0"/>
    <s v="Paper"/>
    <n v="1"/>
    <n v="2120.7199999999998"/>
    <n v="529.59"/>
  </r>
  <r>
    <n v="10220"/>
    <x v="5"/>
    <n v="7"/>
    <x v="71"/>
    <s v="CUST112"/>
    <x v="1"/>
    <x v="3"/>
    <s v="Chennai"/>
    <x v="2"/>
    <s v="Laptop"/>
    <n v="8"/>
    <n v="3330.49"/>
    <n v="126.4"/>
  </r>
  <r>
    <n v="10221"/>
    <x v="4"/>
    <n v="4"/>
    <x v="165"/>
    <s v="CUST734"/>
    <x v="0"/>
    <x v="2"/>
    <s v="Bhubaneswar"/>
    <x v="1"/>
    <s v="Sofa"/>
    <n v="3"/>
    <n v="624.38"/>
    <n v="31.36"/>
  </r>
  <r>
    <n v="10222"/>
    <x v="10"/>
    <n v="12"/>
    <x v="53"/>
    <s v="CUST331"/>
    <x v="2"/>
    <x v="2"/>
    <s v="Bhubaneswar"/>
    <x v="2"/>
    <s v="Monitor"/>
    <n v="2"/>
    <n v="1927.95"/>
    <n v="235.6"/>
  </r>
  <r>
    <n v="10223"/>
    <x v="10"/>
    <n v="12"/>
    <x v="166"/>
    <s v="CUST275"/>
    <x v="1"/>
    <x v="0"/>
    <s v="Delhi"/>
    <x v="1"/>
    <s v="Sofa"/>
    <n v="7"/>
    <n v="1948.13"/>
    <n v="265.56"/>
  </r>
  <r>
    <n v="10224"/>
    <x v="10"/>
    <n v="12"/>
    <x v="167"/>
    <s v="CUST680"/>
    <x v="2"/>
    <x v="1"/>
    <s v="Pune"/>
    <x v="0"/>
    <s v="Binder"/>
    <n v="2"/>
    <n v="4484.4799999999996"/>
    <n v="1231.73"/>
  </r>
  <r>
    <n v="10225"/>
    <x v="4"/>
    <n v="4"/>
    <x v="168"/>
    <s v="CUST701"/>
    <x v="1"/>
    <x v="2"/>
    <s v="Kolkata"/>
    <x v="1"/>
    <s v="Bookcase"/>
    <n v="1"/>
    <n v="978.84"/>
    <n v="255.48"/>
  </r>
  <r>
    <n v="10226"/>
    <x v="0"/>
    <n v="10"/>
    <x v="169"/>
    <s v="CUST439"/>
    <x v="2"/>
    <x v="1"/>
    <s v="Mumbai"/>
    <x v="2"/>
    <s v="Mouse"/>
    <n v="4"/>
    <n v="2876.81"/>
    <n v="687.06"/>
  </r>
  <r>
    <n v="10227"/>
    <x v="1"/>
    <n v="11"/>
    <x v="170"/>
    <s v="CUST887"/>
    <x v="0"/>
    <x v="3"/>
    <s v="Bengaluru"/>
    <x v="0"/>
    <s v="Binder"/>
    <n v="1"/>
    <n v="578.66"/>
    <n v="54.91"/>
  </r>
  <r>
    <n v="10228"/>
    <x v="8"/>
    <n v="8"/>
    <x v="171"/>
    <s v="CUST290"/>
    <x v="0"/>
    <x v="1"/>
    <s v="Pune"/>
    <x v="1"/>
    <s v="Bookcase"/>
    <n v="8"/>
    <n v="2503.96"/>
    <n v="253.82"/>
  </r>
  <r>
    <n v="10229"/>
    <x v="10"/>
    <n v="12"/>
    <x v="172"/>
    <s v="CUST902"/>
    <x v="0"/>
    <x v="1"/>
    <s v="Mumbai"/>
    <x v="0"/>
    <s v="Binder"/>
    <n v="4"/>
    <n v="3594.23"/>
    <n v="238.01"/>
  </r>
  <r>
    <n v="10230"/>
    <x v="2"/>
    <n v="5"/>
    <x v="55"/>
    <s v="CUST204"/>
    <x v="1"/>
    <x v="3"/>
    <s v="Chennai"/>
    <x v="2"/>
    <s v="Keyboard"/>
    <n v="2"/>
    <n v="548.45000000000005"/>
    <n v="112.24"/>
  </r>
  <r>
    <n v="10231"/>
    <x v="1"/>
    <n v="11"/>
    <x v="173"/>
    <s v="CUST712"/>
    <x v="2"/>
    <x v="0"/>
    <s v="Delhi"/>
    <x v="2"/>
    <s v="Monitor"/>
    <n v="7"/>
    <n v="606.14"/>
    <n v="-11.53"/>
  </r>
  <r>
    <n v="10232"/>
    <x v="2"/>
    <n v="5"/>
    <x v="149"/>
    <s v="CUST685"/>
    <x v="0"/>
    <x v="1"/>
    <s v="Mumbai"/>
    <x v="2"/>
    <s v="Monitor"/>
    <n v="7"/>
    <n v="3917.93"/>
    <n v="849.91"/>
  </r>
  <r>
    <n v="10233"/>
    <x v="8"/>
    <n v="8"/>
    <x v="174"/>
    <s v="CUST382"/>
    <x v="2"/>
    <x v="3"/>
    <s v="Chennai"/>
    <x v="1"/>
    <s v="Table"/>
    <n v="5"/>
    <n v="1575.54"/>
    <n v="266.68"/>
  </r>
  <r>
    <n v="10234"/>
    <x v="1"/>
    <n v="11"/>
    <x v="139"/>
    <s v="CUST300"/>
    <x v="2"/>
    <x v="2"/>
    <s v="Bhubaneswar"/>
    <x v="1"/>
    <s v="Bookcase"/>
    <n v="5"/>
    <n v="4726.6899999999996"/>
    <n v="1038.6199999999999"/>
  </r>
  <r>
    <n v="10235"/>
    <x v="11"/>
    <n v="6"/>
    <x v="98"/>
    <s v="CUST550"/>
    <x v="2"/>
    <x v="0"/>
    <s v="Delhi"/>
    <x v="2"/>
    <s v="Laptop"/>
    <n v="7"/>
    <n v="1727.86"/>
    <n v="273.89"/>
  </r>
  <r>
    <n v="10236"/>
    <x v="11"/>
    <n v="6"/>
    <x v="138"/>
    <s v="CUST398"/>
    <x v="0"/>
    <x v="1"/>
    <s v="Mumbai"/>
    <x v="2"/>
    <s v="Keyboard"/>
    <n v="4"/>
    <n v="2447.15"/>
    <n v="191.21"/>
  </r>
  <r>
    <n v="10237"/>
    <x v="0"/>
    <n v="10"/>
    <x v="175"/>
    <s v="CUST304"/>
    <x v="0"/>
    <x v="1"/>
    <s v="Mumbai"/>
    <x v="2"/>
    <s v="Monitor"/>
    <n v="5"/>
    <n v="4100.82"/>
    <n v="596.49"/>
  </r>
  <r>
    <n v="10238"/>
    <x v="5"/>
    <n v="7"/>
    <x v="66"/>
    <s v="CUST789"/>
    <x v="2"/>
    <x v="3"/>
    <s v="Bengaluru"/>
    <x v="0"/>
    <s v="Storage Box"/>
    <n v="4"/>
    <n v="2248.4299999999998"/>
    <n v="206.9"/>
  </r>
  <r>
    <n v="10239"/>
    <x v="1"/>
    <n v="11"/>
    <x v="176"/>
    <s v="CUST590"/>
    <x v="0"/>
    <x v="3"/>
    <s v="Chennai"/>
    <x v="1"/>
    <s v="Bookcase"/>
    <n v="3"/>
    <n v="3604.66"/>
    <n v="883.92"/>
  </r>
  <r>
    <n v="10240"/>
    <x v="7"/>
    <n v="2"/>
    <x v="177"/>
    <s v="CUST211"/>
    <x v="1"/>
    <x v="1"/>
    <s v="Pune"/>
    <x v="0"/>
    <s v="Paper"/>
    <n v="6"/>
    <n v="3538.01"/>
    <n v="836"/>
  </r>
  <r>
    <n v="10241"/>
    <x v="7"/>
    <n v="2"/>
    <x v="178"/>
    <s v="CUST110"/>
    <x v="1"/>
    <x v="2"/>
    <s v="Kolkata"/>
    <x v="0"/>
    <s v="Paper"/>
    <n v="7"/>
    <n v="4837.37"/>
    <n v="563.26"/>
  </r>
  <r>
    <n v="10242"/>
    <x v="10"/>
    <n v="12"/>
    <x v="92"/>
    <s v="CUST612"/>
    <x v="1"/>
    <x v="2"/>
    <s v="Kolkata"/>
    <x v="0"/>
    <s v="Pen"/>
    <n v="8"/>
    <n v="1933.19"/>
    <n v="252.5"/>
  </r>
  <r>
    <n v="10243"/>
    <x v="6"/>
    <n v="3"/>
    <x v="179"/>
    <s v="CUST456"/>
    <x v="2"/>
    <x v="2"/>
    <s v="Kolkata"/>
    <x v="2"/>
    <s v="Laptop"/>
    <n v="5"/>
    <n v="2138.2800000000002"/>
    <n v="609.41999999999996"/>
  </r>
  <r>
    <n v="10244"/>
    <x v="11"/>
    <n v="6"/>
    <x v="138"/>
    <s v="CUST168"/>
    <x v="2"/>
    <x v="2"/>
    <s v="Bhubaneswar"/>
    <x v="1"/>
    <s v="Sofa"/>
    <n v="6"/>
    <n v="2433.1999999999998"/>
    <n v="318.52"/>
  </r>
  <r>
    <n v="10245"/>
    <x v="2"/>
    <n v="5"/>
    <x v="149"/>
    <s v="CUST628"/>
    <x v="1"/>
    <x v="0"/>
    <s v="Delhi"/>
    <x v="1"/>
    <s v="Bookcase"/>
    <n v="2"/>
    <n v="3417.98"/>
    <n v="212.95"/>
  </r>
  <r>
    <n v="10246"/>
    <x v="1"/>
    <n v="11"/>
    <x v="6"/>
    <s v="CUST773"/>
    <x v="2"/>
    <x v="3"/>
    <s v="Chennai"/>
    <x v="0"/>
    <s v="Storage Box"/>
    <n v="8"/>
    <n v="1236.0899999999999"/>
    <n v="168.53"/>
  </r>
  <r>
    <n v="10247"/>
    <x v="4"/>
    <n v="4"/>
    <x v="180"/>
    <s v="CUST385"/>
    <x v="0"/>
    <x v="1"/>
    <s v="Mumbai"/>
    <x v="0"/>
    <s v="Pen"/>
    <n v="8"/>
    <n v="3001.8"/>
    <n v="371.42"/>
  </r>
  <r>
    <n v="10248"/>
    <x v="9"/>
    <n v="9"/>
    <x v="181"/>
    <s v="CUST640"/>
    <x v="0"/>
    <x v="0"/>
    <s v="Delhi"/>
    <x v="0"/>
    <s v="Pen"/>
    <n v="6"/>
    <n v="1697.33"/>
    <n v="252.78"/>
  </r>
  <r>
    <n v="10249"/>
    <x v="10"/>
    <n v="12"/>
    <x v="90"/>
    <s v="CUST822"/>
    <x v="2"/>
    <x v="2"/>
    <s v="Bhubaneswar"/>
    <x v="0"/>
    <s v="Storage Box"/>
    <n v="2"/>
    <n v="1804.83"/>
    <n v="410.01"/>
  </r>
  <r>
    <n v="10250"/>
    <x v="9"/>
    <n v="9"/>
    <x v="182"/>
    <s v="CUST497"/>
    <x v="2"/>
    <x v="0"/>
    <s v="Delhi"/>
    <x v="2"/>
    <s v="Laptop"/>
    <n v="4"/>
    <n v="1596.36"/>
    <n v="83.53"/>
  </r>
  <r>
    <n v="10251"/>
    <x v="6"/>
    <n v="3"/>
    <x v="131"/>
    <s v="CUST668"/>
    <x v="1"/>
    <x v="3"/>
    <s v="Chennai"/>
    <x v="2"/>
    <s v="Mouse"/>
    <n v="8"/>
    <n v="3213.96"/>
    <n v="653.34"/>
  </r>
  <r>
    <n v="10252"/>
    <x v="3"/>
    <n v="1"/>
    <x v="183"/>
    <s v="CUST596"/>
    <x v="1"/>
    <x v="1"/>
    <s v="Pune"/>
    <x v="1"/>
    <s v="Table"/>
    <n v="6"/>
    <n v="4225.7299999999996"/>
    <n v="779.1"/>
  </r>
  <r>
    <n v="10253"/>
    <x v="9"/>
    <n v="9"/>
    <x v="181"/>
    <s v="CUST271"/>
    <x v="1"/>
    <x v="3"/>
    <s v="Chennai"/>
    <x v="0"/>
    <s v="Storage Box"/>
    <n v="7"/>
    <n v="3455.01"/>
    <n v="447.76"/>
  </r>
  <r>
    <n v="10254"/>
    <x v="0"/>
    <n v="10"/>
    <x v="184"/>
    <s v="CUST860"/>
    <x v="2"/>
    <x v="0"/>
    <s v="Delhi"/>
    <x v="2"/>
    <s v="Laptop"/>
    <n v="5"/>
    <n v="1201.73"/>
    <n v="68.739999999999995"/>
  </r>
  <r>
    <n v="10255"/>
    <x v="8"/>
    <n v="8"/>
    <x v="185"/>
    <s v="CUST204"/>
    <x v="0"/>
    <x v="0"/>
    <s v="Delhi"/>
    <x v="2"/>
    <s v="Keyboard"/>
    <n v="1"/>
    <n v="3824.02"/>
    <n v="591.29999999999995"/>
  </r>
  <r>
    <n v="10256"/>
    <x v="6"/>
    <n v="3"/>
    <x v="186"/>
    <s v="CUST894"/>
    <x v="1"/>
    <x v="3"/>
    <s v="Chennai"/>
    <x v="1"/>
    <s v="Sofa"/>
    <n v="5"/>
    <n v="1808.03"/>
    <n v="415.66"/>
  </r>
  <r>
    <n v="10257"/>
    <x v="3"/>
    <n v="1"/>
    <x v="157"/>
    <s v="CUST683"/>
    <x v="2"/>
    <x v="3"/>
    <s v="Chennai"/>
    <x v="0"/>
    <s v="Storage Box"/>
    <n v="3"/>
    <n v="3119.14"/>
    <n v="686.62"/>
  </r>
  <r>
    <n v="10258"/>
    <x v="10"/>
    <n v="12"/>
    <x v="187"/>
    <s v="CUST934"/>
    <x v="1"/>
    <x v="2"/>
    <s v="Kolkata"/>
    <x v="2"/>
    <s v="Keyboard"/>
    <n v="5"/>
    <n v="2906.4"/>
    <n v="785.89"/>
  </r>
  <r>
    <n v="10259"/>
    <x v="11"/>
    <n v="6"/>
    <x v="188"/>
    <s v="CUST948"/>
    <x v="1"/>
    <x v="3"/>
    <s v="Chennai"/>
    <x v="1"/>
    <s v="Bookcase"/>
    <n v="3"/>
    <n v="3536.99"/>
    <n v="279.56"/>
  </r>
  <r>
    <n v="10260"/>
    <x v="7"/>
    <n v="2"/>
    <x v="20"/>
    <s v="CUST512"/>
    <x v="0"/>
    <x v="1"/>
    <s v="Pune"/>
    <x v="1"/>
    <s v="Bookcase"/>
    <n v="7"/>
    <n v="1938.34"/>
    <n v="54.05"/>
  </r>
  <r>
    <n v="10261"/>
    <x v="7"/>
    <n v="2"/>
    <x v="20"/>
    <s v="CUST848"/>
    <x v="2"/>
    <x v="2"/>
    <s v="Bhubaneswar"/>
    <x v="2"/>
    <s v="Monitor"/>
    <n v="6"/>
    <n v="2951.58"/>
    <n v="704.02"/>
  </r>
  <r>
    <n v="10262"/>
    <x v="11"/>
    <n v="6"/>
    <x v="189"/>
    <s v="CUST948"/>
    <x v="2"/>
    <x v="2"/>
    <s v="Kolkata"/>
    <x v="0"/>
    <s v="Storage Box"/>
    <n v="4"/>
    <n v="4843.83"/>
    <n v="1191.58"/>
  </r>
  <r>
    <n v="10263"/>
    <x v="1"/>
    <n v="11"/>
    <x v="190"/>
    <s v="CUST902"/>
    <x v="2"/>
    <x v="2"/>
    <s v="Kolkata"/>
    <x v="0"/>
    <s v="Storage Box"/>
    <n v="6"/>
    <n v="4481.3599999999997"/>
    <n v="1073.46"/>
  </r>
  <r>
    <n v="10264"/>
    <x v="10"/>
    <n v="12"/>
    <x v="191"/>
    <s v="CUST235"/>
    <x v="0"/>
    <x v="0"/>
    <s v="Delhi"/>
    <x v="1"/>
    <s v="Sofa"/>
    <n v="8"/>
    <n v="103.31"/>
    <n v="9.68"/>
  </r>
  <r>
    <n v="10265"/>
    <x v="6"/>
    <n v="3"/>
    <x v="67"/>
    <s v="CUST153"/>
    <x v="2"/>
    <x v="2"/>
    <s v="Kolkata"/>
    <x v="2"/>
    <s v="Laptop"/>
    <n v="6"/>
    <n v="1326.91"/>
    <n v="99.32"/>
  </r>
  <r>
    <n v="10266"/>
    <x v="4"/>
    <n v="4"/>
    <x v="89"/>
    <s v="CUST631"/>
    <x v="0"/>
    <x v="2"/>
    <s v="Kolkata"/>
    <x v="2"/>
    <s v="Laptop"/>
    <n v="2"/>
    <n v="105.32"/>
    <n v="4.55"/>
  </r>
  <r>
    <n v="10267"/>
    <x v="7"/>
    <n v="2"/>
    <x v="192"/>
    <s v="CUST334"/>
    <x v="2"/>
    <x v="1"/>
    <s v="Mumbai"/>
    <x v="1"/>
    <s v="Bookcase"/>
    <n v="2"/>
    <n v="4941.96"/>
    <n v="755.65"/>
  </r>
  <r>
    <n v="10268"/>
    <x v="6"/>
    <n v="3"/>
    <x v="42"/>
    <s v="CUST756"/>
    <x v="0"/>
    <x v="0"/>
    <s v="Delhi"/>
    <x v="1"/>
    <s v="Bookcase"/>
    <n v="6"/>
    <n v="4416.8500000000004"/>
    <n v="294.92"/>
  </r>
  <r>
    <n v="10269"/>
    <x v="6"/>
    <n v="3"/>
    <x v="193"/>
    <s v="CUST521"/>
    <x v="0"/>
    <x v="3"/>
    <s v="Bengaluru"/>
    <x v="0"/>
    <s v="Paper"/>
    <n v="3"/>
    <n v="2256.4899999999998"/>
    <n v="457.56"/>
  </r>
  <r>
    <n v="10270"/>
    <x v="8"/>
    <n v="8"/>
    <x v="49"/>
    <s v="CUST422"/>
    <x v="1"/>
    <x v="1"/>
    <s v="Mumbai"/>
    <x v="1"/>
    <s v="Chair"/>
    <n v="3"/>
    <n v="3786.98"/>
    <n v="709.12"/>
  </r>
  <r>
    <n v="10271"/>
    <x v="10"/>
    <n v="12"/>
    <x v="92"/>
    <s v="CUST127"/>
    <x v="0"/>
    <x v="3"/>
    <s v="Chennai"/>
    <x v="0"/>
    <s v="Paper"/>
    <n v="4"/>
    <n v="2811.64"/>
    <n v="501.57"/>
  </r>
  <r>
    <n v="10272"/>
    <x v="2"/>
    <n v="5"/>
    <x v="194"/>
    <s v="CUST606"/>
    <x v="2"/>
    <x v="2"/>
    <s v="Kolkata"/>
    <x v="0"/>
    <s v="Pen"/>
    <n v="7"/>
    <n v="1548.16"/>
    <n v="8.74"/>
  </r>
  <r>
    <n v="10273"/>
    <x v="0"/>
    <n v="10"/>
    <x v="195"/>
    <s v="CUST530"/>
    <x v="2"/>
    <x v="0"/>
    <s v="Delhi"/>
    <x v="2"/>
    <s v="Laptop"/>
    <n v="1"/>
    <n v="4935.72"/>
    <n v="1385.99"/>
  </r>
  <r>
    <n v="10274"/>
    <x v="5"/>
    <n v="7"/>
    <x v="196"/>
    <s v="CUST618"/>
    <x v="2"/>
    <x v="3"/>
    <s v="Chennai"/>
    <x v="1"/>
    <s v="Chair"/>
    <n v="2"/>
    <n v="167.59"/>
    <n v="-74.84"/>
  </r>
  <r>
    <n v="10275"/>
    <x v="7"/>
    <n v="2"/>
    <x v="197"/>
    <s v="CUST417"/>
    <x v="1"/>
    <x v="1"/>
    <s v="Pune"/>
    <x v="0"/>
    <s v="Storage Box"/>
    <n v="2"/>
    <n v="3238.63"/>
    <n v="581.98"/>
  </r>
  <r>
    <n v="10276"/>
    <x v="1"/>
    <n v="11"/>
    <x v="159"/>
    <s v="CUST167"/>
    <x v="2"/>
    <x v="3"/>
    <s v="Bengaluru"/>
    <x v="0"/>
    <s v="Binder"/>
    <n v="7"/>
    <n v="2973.54"/>
    <n v="651.05999999999995"/>
  </r>
  <r>
    <n v="10277"/>
    <x v="3"/>
    <n v="1"/>
    <x v="198"/>
    <s v="CUST416"/>
    <x v="0"/>
    <x v="1"/>
    <s v="Mumbai"/>
    <x v="1"/>
    <s v="Table"/>
    <n v="2"/>
    <n v="4630.68"/>
    <n v="304.58"/>
  </r>
  <r>
    <n v="10278"/>
    <x v="2"/>
    <n v="5"/>
    <x v="43"/>
    <s v="CUST270"/>
    <x v="2"/>
    <x v="3"/>
    <s v="Bengaluru"/>
    <x v="1"/>
    <s v="Table"/>
    <n v="1"/>
    <n v="902.78"/>
    <n v="207.93"/>
  </r>
  <r>
    <n v="10279"/>
    <x v="2"/>
    <n v="5"/>
    <x v="11"/>
    <s v="CUST829"/>
    <x v="0"/>
    <x v="3"/>
    <s v="Chennai"/>
    <x v="0"/>
    <s v="Paper"/>
    <n v="1"/>
    <n v="1741.55"/>
    <n v="221.61"/>
  </r>
  <r>
    <n v="10280"/>
    <x v="2"/>
    <n v="5"/>
    <x v="199"/>
    <s v="CUST891"/>
    <x v="1"/>
    <x v="0"/>
    <s v="Chandigarh"/>
    <x v="2"/>
    <s v="Keyboard"/>
    <n v="1"/>
    <n v="2548.09"/>
    <n v="451.75"/>
  </r>
  <r>
    <n v="10281"/>
    <x v="5"/>
    <n v="7"/>
    <x v="200"/>
    <s v="CUST492"/>
    <x v="1"/>
    <x v="0"/>
    <s v="Delhi"/>
    <x v="0"/>
    <s v="Paper"/>
    <n v="1"/>
    <n v="4307.58"/>
    <n v="224.01"/>
  </r>
  <r>
    <n v="10282"/>
    <x v="2"/>
    <n v="5"/>
    <x v="55"/>
    <s v="CUST945"/>
    <x v="1"/>
    <x v="3"/>
    <s v="Bengaluru"/>
    <x v="0"/>
    <s v="Storage Box"/>
    <n v="4"/>
    <n v="1676.83"/>
    <n v="186.31"/>
  </r>
  <r>
    <n v="10283"/>
    <x v="5"/>
    <n v="7"/>
    <x v="201"/>
    <s v="CUST170"/>
    <x v="2"/>
    <x v="2"/>
    <s v="Kolkata"/>
    <x v="0"/>
    <s v="Paper"/>
    <n v="3"/>
    <n v="1193.6099999999999"/>
    <n v="209"/>
  </r>
  <r>
    <n v="10284"/>
    <x v="11"/>
    <n v="6"/>
    <x v="202"/>
    <s v="CUST857"/>
    <x v="0"/>
    <x v="2"/>
    <s v="Bhubaneswar"/>
    <x v="2"/>
    <s v="Laptop"/>
    <n v="8"/>
    <n v="139.05000000000001"/>
    <n v="-42.45"/>
  </r>
  <r>
    <n v="10285"/>
    <x v="6"/>
    <n v="3"/>
    <x v="193"/>
    <s v="CUST106"/>
    <x v="2"/>
    <x v="3"/>
    <s v="Chennai"/>
    <x v="2"/>
    <s v="Monitor"/>
    <n v="4"/>
    <n v="3689.07"/>
    <n v="608.92999999999995"/>
  </r>
  <r>
    <n v="10286"/>
    <x v="11"/>
    <n v="6"/>
    <x v="145"/>
    <s v="CUST206"/>
    <x v="1"/>
    <x v="0"/>
    <s v="Delhi"/>
    <x v="0"/>
    <s v="Binder"/>
    <n v="1"/>
    <n v="4759.8500000000004"/>
    <n v="174"/>
  </r>
  <r>
    <n v="10287"/>
    <x v="9"/>
    <n v="9"/>
    <x v="203"/>
    <s v="CUST522"/>
    <x v="0"/>
    <x v="3"/>
    <s v="Chennai"/>
    <x v="2"/>
    <s v="Laptop"/>
    <n v="3"/>
    <n v="3587.1"/>
    <n v="170.65"/>
  </r>
  <r>
    <n v="10288"/>
    <x v="0"/>
    <n v="10"/>
    <x v="144"/>
    <s v="CUST681"/>
    <x v="1"/>
    <x v="2"/>
    <s v="Bhubaneswar"/>
    <x v="0"/>
    <s v="Paper"/>
    <n v="2"/>
    <n v="2576.6"/>
    <n v="499.86"/>
  </r>
  <r>
    <n v="10289"/>
    <x v="11"/>
    <n v="6"/>
    <x v="204"/>
    <s v="CUST425"/>
    <x v="2"/>
    <x v="1"/>
    <s v="Mumbai"/>
    <x v="1"/>
    <s v="Bookcase"/>
    <n v="5"/>
    <n v="4269.4799999999996"/>
    <n v="1162.6099999999999"/>
  </r>
  <r>
    <n v="10290"/>
    <x v="6"/>
    <n v="3"/>
    <x v="67"/>
    <s v="CUST560"/>
    <x v="2"/>
    <x v="2"/>
    <s v="Kolkata"/>
    <x v="1"/>
    <s v="Table"/>
    <n v="3"/>
    <n v="3921.69"/>
    <n v="753.8"/>
  </r>
  <r>
    <n v="10291"/>
    <x v="7"/>
    <n v="2"/>
    <x v="9"/>
    <s v="CUST261"/>
    <x v="0"/>
    <x v="2"/>
    <s v="Bhubaneswar"/>
    <x v="1"/>
    <s v="Bookcase"/>
    <n v="4"/>
    <n v="2314.39"/>
    <n v="298.56"/>
  </r>
  <r>
    <n v="10292"/>
    <x v="9"/>
    <n v="9"/>
    <x v="205"/>
    <s v="CUST150"/>
    <x v="0"/>
    <x v="2"/>
    <s v="Kolkata"/>
    <x v="1"/>
    <s v="Bookcase"/>
    <n v="3"/>
    <n v="546.94000000000005"/>
    <n v="25.71"/>
  </r>
  <r>
    <n v="10293"/>
    <x v="7"/>
    <n v="2"/>
    <x v="18"/>
    <s v="CUST573"/>
    <x v="1"/>
    <x v="2"/>
    <s v="Bhubaneswar"/>
    <x v="1"/>
    <s v="Chair"/>
    <n v="7"/>
    <n v="4287.55"/>
    <n v="755.29"/>
  </r>
  <r>
    <n v="10294"/>
    <x v="1"/>
    <n v="11"/>
    <x v="74"/>
    <s v="CUST760"/>
    <x v="1"/>
    <x v="3"/>
    <s v="Bengaluru"/>
    <x v="1"/>
    <s v="Chair"/>
    <n v="4"/>
    <n v="740.5"/>
    <n v="152.28"/>
  </r>
  <r>
    <n v="10295"/>
    <x v="11"/>
    <n v="6"/>
    <x v="124"/>
    <s v="CUST225"/>
    <x v="1"/>
    <x v="2"/>
    <s v="Kolkata"/>
    <x v="1"/>
    <s v="Chair"/>
    <n v="4"/>
    <n v="4522.2299999999996"/>
    <n v="714.56"/>
  </r>
  <r>
    <n v="10296"/>
    <x v="5"/>
    <n v="7"/>
    <x v="5"/>
    <s v="CUST319"/>
    <x v="1"/>
    <x v="1"/>
    <s v="Mumbai"/>
    <x v="1"/>
    <s v="Sofa"/>
    <n v="7"/>
    <n v="2531.02"/>
    <n v="326.06"/>
  </r>
  <r>
    <n v="10297"/>
    <x v="9"/>
    <n v="9"/>
    <x v="140"/>
    <s v="CUST521"/>
    <x v="0"/>
    <x v="2"/>
    <s v="Bhubaneswar"/>
    <x v="2"/>
    <s v="Mouse"/>
    <n v="1"/>
    <n v="3109.12"/>
    <n v="570.29"/>
  </r>
  <r>
    <n v="10298"/>
    <x v="9"/>
    <n v="9"/>
    <x v="115"/>
    <s v="CUST355"/>
    <x v="0"/>
    <x v="1"/>
    <s v="Mumbai"/>
    <x v="1"/>
    <s v="Bookcase"/>
    <n v="7"/>
    <n v="772.46"/>
    <n v="-11.32"/>
  </r>
  <r>
    <n v="10299"/>
    <x v="9"/>
    <n v="9"/>
    <x v="136"/>
    <s v="CUST429"/>
    <x v="2"/>
    <x v="0"/>
    <s v="Chandigarh"/>
    <x v="0"/>
    <s v="Binder"/>
    <n v="8"/>
    <n v="2768.14"/>
    <n v="382.55"/>
  </r>
  <r>
    <n v="10300"/>
    <x v="8"/>
    <n v="8"/>
    <x v="206"/>
    <s v="CUST642"/>
    <x v="2"/>
    <x v="2"/>
    <s v="Kolkata"/>
    <x v="1"/>
    <s v="Bookcase"/>
    <n v="4"/>
    <n v="243.59"/>
    <n v="33.46"/>
  </r>
  <r>
    <n v="10301"/>
    <x v="3"/>
    <n v="1"/>
    <x v="198"/>
    <s v="CUST882"/>
    <x v="1"/>
    <x v="3"/>
    <s v="Bengaluru"/>
    <x v="1"/>
    <s v="Table"/>
    <n v="4"/>
    <n v="1405.98"/>
    <n v="265.49"/>
  </r>
  <r>
    <n v="10302"/>
    <x v="0"/>
    <n v="10"/>
    <x v="207"/>
    <s v="CUST128"/>
    <x v="0"/>
    <x v="1"/>
    <s v="Pune"/>
    <x v="1"/>
    <s v="Table"/>
    <n v="4"/>
    <n v="3003.35"/>
    <n v="685.74"/>
  </r>
  <r>
    <n v="10303"/>
    <x v="3"/>
    <n v="1"/>
    <x v="198"/>
    <s v="CUST338"/>
    <x v="0"/>
    <x v="2"/>
    <s v="Kolkata"/>
    <x v="0"/>
    <s v="Pen"/>
    <n v="8"/>
    <n v="2756.41"/>
    <n v="255"/>
  </r>
  <r>
    <n v="10304"/>
    <x v="11"/>
    <n v="6"/>
    <x v="57"/>
    <s v="CUST834"/>
    <x v="1"/>
    <x v="3"/>
    <s v="Bengaluru"/>
    <x v="0"/>
    <s v="Storage Box"/>
    <n v="1"/>
    <n v="1725.5"/>
    <n v="270.55"/>
  </r>
  <r>
    <n v="10305"/>
    <x v="7"/>
    <n v="2"/>
    <x v="25"/>
    <s v="CUST482"/>
    <x v="0"/>
    <x v="2"/>
    <s v="Kolkata"/>
    <x v="1"/>
    <s v="Table"/>
    <n v="3"/>
    <n v="3894.4"/>
    <n v="932.79"/>
  </r>
  <r>
    <n v="10306"/>
    <x v="1"/>
    <n v="11"/>
    <x v="6"/>
    <s v="CUST598"/>
    <x v="0"/>
    <x v="1"/>
    <s v="Mumbai"/>
    <x v="2"/>
    <s v="Keyboard"/>
    <n v="6"/>
    <n v="768.61"/>
    <n v="-26.17"/>
  </r>
  <r>
    <n v="10307"/>
    <x v="10"/>
    <n v="12"/>
    <x v="191"/>
    <s v="CUST401"/>
    <x v="1"/>
    <x v="2"/>
    <s v="Kolkata"/>
    <x v="0"/>
    <s v="Binder"/>
    <n v="4"/>
    <n v="3361.11"/>
    <n v="814.58"/>
  </r>
  <r>
    <n v="10308"/>
    <x v="1"/>
    <n v="11"/>
    <x v="208"/>
    <s v="CUST326"/>
    <x v="0"/>
    <x v="3"/>
    <s v="Bengaluru"/>
    <x v="0"/>
    <s v="Storage Box"/>
    <n v="1"/>
    <n v="992.2"/>
    <n v="47.66"/>
  </r>
  <r>
    <n v="10309"/>
    <x v="7"/>
    <n v="2"/>
    <x v="209"/>
    <s v="CUST941"/>
    <x v="0"/>
    <x v="0"/>
    <s v="Chandigarh"/>
    <x v="1"/>
    <s v="Bookcase"/>
    <n v="2"/>
    <n v="1266.18"/>
    <n v="357.49"/>
  </r>
  <r>
    <n v="10310"/>
    <x v="7"/>
    <n v="2"/>
    <x v="210"/>
    <s v="CUST837"/>
    <x v="1"/>
    <x v="2"/>
    <s v="Bhubaneswar"/>
    <x v="1"/>
    <s v="Bookcase"/>
    <n v="4"/>
    <n v="1322.75"/>
    <n v="62.89"/>
  </r>
  <r>
    <n v="10311"/>
    <x v="0"/>
    <n v="10"/>
    <x v="0"/>
    <s v="CUST484"/>
    <x v="1"/>
    <x v="0"/>
    <s v="Chandigarh"/>
    <x v="2"/>
    <s v="Monitor"/>
    <n v="3"/>
    <n v="4434.3"/>
    <n v="730.46"/>
  </r>
  <r>
    <n v="10312"/>
    <x v="2"/>
    <n v="5"/>
    <x v="211"/>
    <s v="CUST207"/>
    <x v="1"/>
    <x v="1"/>
    <s v="Mumbai"/>
    <x v="1"/>
    <s v="Sofa"/>
    <n v="2"/>
    <n v="4016.05"/>
    <n v="232.34"/>
  </r>
  <r>
    <n v="10313"/>
    <x v="1"/>
    <n v="11"/>
    <x v="212"/>
    <s v="CUST728"/>
    <x v="2"/>
    <x v="2"/>
    <s v="Kolkata"/>
    <x v="2"/>
    <s v="Mouse"/>
    <n v="2"/>
    <n v="2780.53"/>
    <n v="754.03"/>
  </r>
  <r>
    <n v="10314"/>
    <x v="4"/>
    <n v="4"/>
    <x v="161"/>
    <s v="CUST519"/>
    <x v="0"/>
    <x v="0"/>
    <s v="Chandigarh"/>
    <x v="0"/>
    <s v="Pen"/>
    <n v="7"/>
    <n v="869.81"/>
    <n v="44.95"/>
  </r>
  <r>
    <n v="10315"/>
    <x v="6"/>
    <n v="3"/>
    <x v="213"/>
    <s v="CUST155"/>
    <x v="2"/>
    <x v="2"/>
    <s v="Bhubaneswar"/>
    <x v="2"/>
    <s v="Mouse"/>
    <n v="2"/>
    <n v="343.21"/>
    <n v="-17.77"/>
  </r>
  <r>
    <n v="10316"/>
    <x v="2"/>
    <n v="5"/>
    <x v="214"/>
    <s v="CUST183"/>
    <x v="2"/>
    <x v="0"/>
    <s v="Chandigarh"/>
    <x v="1"/>
    <s v="Bookcase"/>
    <n v="8"/>
    <n v="1078.4100000000001"/>
    <n v="43.78"/>
  </r>
  <r>
    <n v="10317"/>
    <x v="5"/>
    <n v="7"/>
    <x v="215"/>
    <s v="CUST289"/>
    <x v="2"/>
    <x v="0"/>
    <s v="Chandigarh"/>
    <x v="2"/>
    <s v="Monitor"/>
    <n v="8"/>
    <n v="4484.8999999999996"/>
    <n v="457.19"/>
  </r>
  <r>
    <n v="10318"/>
    <x v="2"/>
    <n v="5"/>
    <x v="216"/>
    <s v="CUST677"/>
    <x v="1"/>
    <x v="1"/>
    <s v="Pune"/>
    <x v="1"/>
    <s v="Sofa"/>
    <n v="1"/>
    <n v="1390.15"/>
    <n v="208.51"/>
  </r>
  <r>
    <n v="10319"/>
    <x v="5"/>
    <n v="7"/>
    <x v="215"/>
    <s v="CUST938"/>
    <x v="0"/>
    <x v="3"/>
    <s v="Bengaluru"/>
    <x v="1"/>
    <s v="Bookcase"/>
    <n v="7"/>
    <n v="4856.46"/>
    <n v="903.46"/>
  </r>
  <r>
    <n v="10320"/>
    <x v="3"/>
    <n v="1"/>
    <x v="217"/>
    <s v="CUST614"/>
    <x v="0"/>
    <x v="1"/>
    <s v="Pune"/>
    <x v="0"/>
    <s v="Pen"/>
    <n v="8"/>
    <n v="1564.38"/>
    <n v="147.22999999999999"/>
  </r>
  <r>
    <n v="10321"/>
    <x v="8"/>
    <n v="8"/>
    <x v="218"/>
    <s v="CUST180"/>
    <x v="0"/>
    <x v="3"/>
    <s v="Bengaluru"/>
    <x v="2"/>
    <s v="Mouse"/>
    <n v="3"/>
    <n v="4863.6099999999997"/>
    <n v="1213.57"/>
  </r>
  <r>
    <n v="10322"/>
    <x v="7"/>
    <n v="2"/>
    <x v="219"/>
    <s v="CUST497"/>
    <x v="0"/>
    <x v="1"/>
    <s v="Mumbai"/>
    <x v="0"/>
    <s v="Pen"/>
    <n v="5"/>
    <n v="1666.77"/>
    <n v="305.58"/>
  </r>
  <r>
    <n v="10323"/>
    <x v="8"/>
    <n v="8"/>
    <x v="47"/>
    <s v="CUST215"/>
    <x v="2"/>
    <x v="1"/>
    <s v="Pune"/>
    <x v="2"/>
    <s v="Monitor"/>
    <n v="1"/>
    <n v="3954.1"/>
    <n v="761.36"/>
  </r>
  <r>
    <n v="10324"/>
    <x v="0"/>
    <n v="10"/>
    <x v="34"/>
    <s v="CUST452"/>
    <x v="2"/>
    <x v="3"/>
    <s v="Bengaluru"/>
    <x v="0"/>
    <s v="Paper"/>
    <n v="2"/>
    <n v="2857.15"/>
    <n v="186.38"/>
  </r>
  <r>
    <n v="10325"/>
    <x v="1"/>
    <n v="11"/>
    <x v="119"/>
    <s v="CUST797"/>
    <x v="0"/>
    <x v="2"/>
    <s v="Bhubaneswar"/>
    <x v="0"/>
    <s v="Storage Box"/>
    <n v="8"/>
    <n v="283.58"/>
    <n v="19.32"/>
  </r>
  <r>
    <n v="10326"/>
    <x v="5"/>
    <n v="7"/>
    <x v="220"/>
    <s v="CUST120"/>
    <x v="2"/>
    <x v="1"/>
    <s v="Mumbai"/>
    <x v="2"/>
    <s v="Keyboard"/>
    <n v="4"/>
    <n v="341.53"/>
    <n v="30.79"/>
  </r>
  <r>
    <n v="10327"/>
    <x v="8"/>
    <n v="8"/>
    <x v="73"/>
    <s v="CUST892"/>
    <x v="2"/>
    <x v="2"/>
    <s v="Bhubaneswar"/>
    <x v="2"/>
    <s v="Monitor"/>
    <n v="2"/>
    <n v="4865.2299999999996"/>
    <n v="490.48"/>
  </r>
  <r>
    <n v="10328"/>
    <x v="9"/>
    <n v="9"/>
    <x v="114"/>
    <s v="CUST877"/>
    <x v="0"/>
    <x v="2"/>
    <s v="Bhubaneswar"/>
    <x v="0"/>
    <s v="Paper"/>
    <n v="4"/>
    <n v="2264.41"/>
    <n v="589.6"/>
  </r>
  <r>
    <n v="10329"/>
    <x v="9"/>
    <n v="9"/>
    <x v="61"/>
    <s v="CUST682"/>
    <x v="1"/>
    <x v="2"/>
    <s v="Kolkata"/>
    <x v="0"/>
    <s v="Pen"/>
    <n v="2"/>
    <n v="1624.5"/>
    <n v="273.48"/>
  </r>
  <r>
    <n v="10330"/>
    <x v="4"/>
    <n v="4"/>
    <x v="221"/>
    <s v="CUST380"/>
    <x v="2"/>
    <x v="3"/>
    <s v="Bengaluru"/>
    <x v="1"/>
    <s v="Chair"/>
    <n v="4"/>
    <n v="262.05"/>
    <n v="-19.62"/>
  </r>
  <r>
    <n v="10331"/>
    <x v="8"/>
    <n v="8"/>
    <x v="79"/>
    <s v="CUST700"/>
    <x v="0"/>
    <x v="1"/>
    <s v="Pune"/>
    <x v="0"/>
    <s v="Paper"/>
    <n v="1"/>
    <n v="1285.5"/>
    <n v="176.75"/>
  </r>
  <r>
    <n v="10332"/>
    <x v="0"/>
    <n v="10"/>
    <x v="121"/>
    <s v="CUST898"/>
    <x v="1"/>
    <x v="2"/>
    <s v="Bhubaneswar"/>
    <x v="1"/>
    <s v="Bookcase"/>
    <n v="2"/>
    <n v="1496.84"/>
    <n v="203.21"/>
  </r>
  <r>
    <n v="10333"/>
    <x v="10"/>
    <n v="12"/>
    <x v="83"/>
    <s v="CUST109"/>
    <x v="2"/>
    <x v="3"/>
    <s v="Bengaluru"/>
    <x v="0"/>
    <s v="Pen"/>
    <n v="5"/>
    <n v="3292.78"/>
    <n v="500.71"/>
  </r>
  <r>
    <n v="10334"/>
    <x v="10"/>
    <n v="12"/>
    <x v="135"/>
    <s v="CUST758"/>
    <x v="2"/>
    <x v="3"/>
    <s v="Bengaluru"/>
    <x v="0"/>
    <s v="Paper"/>
    <n v="4"/>
    <n v="1336.71"/>
    <n v="305.33"/>
  </r>
  <r>
    <n v="10335"/>
    <x v="1"/>
    <n v="11"/>
    <x v="222"/>
    <s v="CUST506"/>
    <x v="0"/>
    <x v="1"/>
    <s v="Pune"/>
    <x v="2"/>
    <s v="Monitor"/>
    <n v="5"/>
    <n v="1169.22"/>
    <n v="94.72"/>
  </r>
  <r>
    <n v="10336"/>
    <x v="2"/>
    <n v="5"/>
    <x v="223"/>
    <s v="CUST755"/>
    <x v="2"/>
    <x v="0"/>
    <s v="Delhi"/>
    <x v="0"/>
    <s v="Binder"/>
    <n v="5"/>
    <n v="1562.53"/>
    <n v="113.97"/>
  </r>
  <r>
    <n v="10337"/>
    <x v="1"/>
    <n v="11"/>
    <x v="224"/>
    <s v="CUST513"/>
    <x v="0"/>
    <x v="2"/>
    <s v="Bhubaneswar"/>
    <x v="0"/>
    <s v="Binder"/>
    <n v="4"/>
    <n v="834.65"/>
    <n v="111.49"/>
  </r>
  <r>
    <n v="10338"/>
    <x v="5"/>
    <n v="7"/>
    <x v="215"/>
    <s v="CUST854"/>
    <x v="1"/>
    <x v="2"/>
    <s v="Kolkata"/>
    <x v="0"/>
    <s v="Paper"/>
    <n v="8"/>
    <n v="4987.6000000000004"/>
    <n v="531"/>
  </r>
  <r>
    <n v="10339"/>
    <x v="6"/>
    <n v="3"/>
    <x v="225"/>
    <s v="CUST960"/>
    <x v="0"/>
    <x v="3"/>
    <s v="Chennai"/>
    <x v="0"/>
    <s v="Pen"/>
    <n v="8"/>
    <n v="4541.9799999999996"/>
    <n v="939.27"/>
  </r>
  <r>
    <n v="10340"/>
    <x v="4"/>
    <n v="4"/>
    <x v="226"/>
    <s v="CUST796"/>
    <x v="2"/>
    <x v="3"/>
    <s v="Chennai"/>
    <x v="1"/>
    <s v="Sofa"/>
    <n v="3"/>
    <n v="3730.5"/>
    <n v="806.95"/>
  </r>
  <r>
    <n v="10341"/>
    <x v="0"/>
    <n v="10"/>
    <x v="227"/>
    <s v="CUST401"/>
    <x v="2"/>
    <x v="0"/>
    <s v="Delhi"/>
    <x v="2"/>
    <s v="Mouse"/>
    <n v="5"/>
    <n v="2160.3200000000002"/>
    <n v="549.80999999999995"/>
  </r>
  <r>
    <n v="10342"/>
    <x v="5"/>
    <n v="7"/>
    <x v="228"/>
    <s v="CUST642"/>
    <x v="2"/>
    <x v="0"/>
    <s v="Chandigarh"/>
    <x v="1"/>
    <s v="Chair"/>
    <n v="8"/>
    <n v="4458.1899999999996"/>
    <n v="693.97"/>
  </r>
  <r>
    <n v="10343"/>
    <x v="8"/>
    <n v="8"/>
    <x v="120"/>
    <s v="CUST246"/>
    <x v="2"/>
    <x v="1"/>
    <s v="Mumbai"/>
    <x v="1"/>
    <s v="Table"/>
    <n v="4"/>
    <n v="1779.08"/>
    <n v="438.74"/>
  </r>
  <r>
    <n v="10344"/>
    <x v="4"/>
    <n v="4"/>
    <x v="229"/>
    <s v="CUST879"/>
    <x v="1"/>
    <x v="3"/>
    <s v="Bengaluru"/>
    <x v="2"/>
    <s v="Keyboard"/>
    <n v="3"/>
    <n v="1635.73"/>
    <n v="60.3"/>
  </r>
  <r>
    <n v="10345"/>
    <x v="5"/>
    <n v="7"/>
    <x v="230"/>
    <s v="CUST104"/>
    <x v="1"/>
    <x v="3"/>
    <s v="Chennai"/>
    <x v="1"/>
    <s v="Table"/>
    <n v="7"/>
    <n v="3204.09"/>
    <n v="386.8"/>
  </r>
  <r>
    <n v="10346"/>
    <x v="4"/>
    <n v="4"/>
    <x v="89"/>
    <s v="CUST810"/>
    <x v="2"/>
    <x v="3"/>
    <s v="Chennai"/>
    <x v="1"/>
    <s v="Bookcase"/>
    <n v="4"/>
    <n v="187.79"/>
    <n v="-63.78"/>
  </r>
  <r>
    <n v="10347"/>
    <x v="2"/>
    <n v="5"/>
    <x v="231"/>
    <s v="CUST566"/>
    <x v="0"/>
    <x v="2"/>
    <s v="Kolkata"/>
    <x v="1"/>
    <s v="Sofa"/>
    <n v="5"/>
    <n v="918.4"/>
    <n v="205.25"/>
  </r>
  <r>
    <n v="10348"/>
    <x v="6"/>
    <n v="3"/>
    <x v="67"/>
    <s v="CUST931"/>
    <x v="2"/>
    <x v="2"/>
    <s v="Bhubaneswar"/>
    <x v="0"/>
    <s v="Pen"/>
    <n v="6"/>
    <n v="4981.08"/>
    <n v="784.45"/>
  </r>
  <r>
    <n v="10349"/>
    <x v="5"/>
    <n v="7"/>
    <x v="129"/>
    <s v="CUST828"/>
    <x v="0"/>
    <x v="0"/>
    <s v="Delhi"/>
    <x v="1"/>
    <s v="Table"/>
    <n v="4"/>
    <n v="3696.98"/>
    <n v="712.97"/>
  </r>
  <r>
    <n v="10350"/>
    <x v="3"/>
    <n v="1"/>
    <x v="46"/>
    <s v="CUST149"/>
    <x v="0"/>
    <x v="0"/>
    <s v="Chandigarh"/>
    <x v="0"/>
    <s v="Binder"/>
    <n v="1"/>
    <n v="3010.23"/>
    <n v="175.79"/>
  </r>
  <r>
    <n v="10351"/>
    <x v="10"/>
    <n v="12"/>
    <x v="232"/>
    <s v="CUST802"/>
    <x v="0"/>
    <x v="0"/>
    <s v="Chandigarh"/>
    <x v="2"/>
    <s v="Monitor"/>
    <n v="2"/>
    <n v="2781.68"/>
    <n v="453.68"/>
  </r>
  <r>
    <n v="10352"/>
    <x v="7"/>
    <n v="2"/>
    <x v="27"/>
    <s v="CUST623"/>
    <x v="0"/>
    <x v="0"/>
    <s v="Chandigarh"/>
    <x v="2"/>
    <s v="Laptop"/>
    <n v="5"/>
    <n v="3151.71"/>
    <n v="667.82"/>
  </r>
  <r>
    <n v="10353"/>
    <x v="9"/>
    <n v="9"/>
    <x v="24"/>
    <s v="CUST306"/>
    <x v="2"/>
    <x v="0"/>
    <s v="Chandigarh"/>
    <x v="1"/>
    <s v="Chair"/>
    <n v="8"/>
    <n v="1073.3699999999999"/>
    <n v="80.97"/>
  </r>
  <r>
    <n v="10354"/>
    <x v="2"/>
    <n v="5"/>
    <x v="233"/>
    <s v="CUST102"/>
    <x v="1"/>
    <x v="1"/>
    <s v="Pune"/>
    <x v="1"/>
    <s v="Chair"/>
    <n v="8"/>
    <n v="4560.75"/>
    <n v="964.65"/>
  </r>
  <r>
    <n v="10355"/>
    <x v="7"/>
    <n v="2"/>
    <x v="234"/>
    <s v="CUST362"/>
    <x v="0"/>
    <x v="0"/>
    <s v="Delhi"/>
    <x v="0"/>
    <s v="Storage Box"/>
    <n v="3"/>
    <n v="4752.29"/>
    <n v="1156.24"/>
  </r>
  <r>
    <n v="10356"/>
    <x v="2"/>
    <n v="5"/>
    <x v="231"/>
    <s v="CUST468"/>
    <x v="0"/>
    <x v="3"/>
    <s v="Chennai"/>
    <x v="2"/>
    <s v="Keyboard"/>
    <n v="8"/>
    <n v="345.39"/>
    <n v="7.0000000000000007E-2"/>
  </r>
  <r>
    <n v="10357"/>
    <x v="6"/>
    <n v="3"/>
    <x v="150"/>
    <s v="CUST779"/>
    <x v="0"/>
    <x v="2"/>
    <s v="Bhubaneswar"/>
    <x v="0"/>
    <s v="Paper"/>
    <n v="2"/>
    <n v="4271.1000000000004"/>
    <n v="1163.22"/>
  </r>
  <r>
    <n v="10358"/>
    <x v="4"/>
    <n v="4"/>
    <x v="226"/>
    <s v="CUST216"/>
    <x v="2"/>
    <x v="3"/>
    <s v="Chennai"/>
    <x v="2"/>
    <s v="Monitor"/>
    <n v="5"/>
    <n v="4404.53"/>
    <n v="241.08"/>
  </r>
  <r>
    <n v="10359"/>
    <x v="7"/>
    <n v="2"/>
    <x v="156"/>
    <s v="CUST235"/>
    <x v="0"/>
    <x v="1"/>
    <s v="Pune"/>
    <x v="2"/>
    <s v="Monitor"/>
    <n v="8"/>
    <n v="4019.51"/>
    <n v="773.3"/>
  </r>
  <r>
    <n v="10360"/>
    <x v="5"/>
    <n v="7"/>
    <x v="50"/>
    <s v="CUST897"/>
    <x v="2"/>
    <x v="0"/>
    <s v="Delhi"/>
    <x v="1"/>
    <s v="Sofa"/>
    <n v="8"/>
    <n v="4031.1"/>
    <n v="867.1"/>
  </r>
  <r>
    <n v="10361"/>
    <x v="10"/>
    <n v="12"/>
    <x v="39"/>
    <s v="CUST421"/>
    <x v="1"/>
    <x v="0"/>
    <s v="Delhi"/>
    <x v="2"/>
    <s v="Monitor"/>
    <n v="2"/>
    <n v="4449.21"/>
    <n v="706.31"/>
  </r>
  <r>
    <n v="10362"/>
    <x v="10"/>
    <n v="12"/>
    <x v="235"/>
    <s v="CUST756"/>
    <x v="2"/>
    <x v="3"/>
    <s v="Chennai"/>
    <x v="0"/>
    <s v="Paper"/>
    <n v="7"/>
    <n v="3342.39"/>
    <n v="340.25"/>
  </r>
  <r>
    <n v="10363"/>
    <x v="9"/>
    <n v="9"/>
    <x v="236"/>
    <s v="CUST428"/>
    <x v="1"/>
    <x v="3"/>
    <s v="Bengaluru"/>
    <x v="1"/>
    <s v="Table"/>
    <n v="8"/>
    <n v="4274.17"/>
    <n v="1135.23"/>
  </r>
  <r>
    <n v="10364"/>
    <x v="0"/>
    <n v="10"/>
    <x v="100"/>
    <s v="CUST558"/>
    <x v="1"/>
    <x v="2"/>
    <s v="Bhubaneswar"/>
    <x v="1"/>
    <s v="Table"/>
    <n v="7"/>
    <n v="2076.06"/>
    <n v="179.86"/>
  </r>
  <r>
    <n v="10365"/>
    <x v="3"/>
    <n v="1"/>
    <x v="152"/>
    <s v="CUST670"/>
    <x v="0"/>
    <x v="1"/>
    <s v="Pune"/>
    <x v="2"/>
    <s v="Laptop"/>
    <n v="8"/>
    <n v="3751.67"/>
    <n v="163.91"/>
  </r>
  <r>
    <n v="10366"/>
    <x v="3"/>
    <n v="1"/>
    <x v="64"/>
    <s v="CUST936"/>
    <x v="1"/>
    <x v="0"/>
    <s v="Delhi"/>
    <x v="0"/>
    <s v="Binder"/>
    <n v="4"/>
    <n v="3307.52"/>
    <n v="508.52"/>
  </r>
  <r>
    <n v="10367"/>
    <x v="4"/>
    <n v="4"/>
    <x v="118"/>
    <s v="CUST102"/>
    <x v="2"/>
    <x v="1"/>
    <s v="Pune"/>
    <x v="0"/>
    <s v="Storage Box"/>
    <n v="6"/>
    <n v="3607.98"/>
    <n v="207.32"/>
  </r>
  <r>
    <n v="10368"/>
    <x v="5"/>
    <n v="7"/>
    <x v="66"/>
    <s v="CUST209"/>
    <x v="2"/>
    <x v="2"/>
    <s v="Bhubaneswar"/>
    <x v="0"/>
    <s v="Binder"/>
    <n v="2"/>
    <n v="324.31"/>
    <n v="15.48"/>
  </r>
  <r>
    <n v="10369"/>
    <x v="7"/>
    <n v="2"/>
    <x v="210"/>
    <s v="CUST875"/>
    <x v="2"/>
    <x v="3"/>
    <s v="Bengaluru"/>
    <x v="1"/>
    <s v="Sofa"/>
    <n v="4"/>
    <n v="2339.5300000000002"/>
    <n v="502.34"/>
  </r>
  <r>
    <n v="10370"/>
    <x v="0"/>
    <n v="10"/>
    <x v="16"/>
    <s v="CUST543"/>
    <x v="0"/>
    <x v="0"/>
    <s v="Delhi"/>
    <x v="2"/>
    <s v="Monitor"/>
    <n v="3"/>
    <n v="4822.8900000000003"/>
    <n v="172.75"/>
  </r>
  <r>
    <n v="10371"/>
    <x v="11"/>
    <n v="6"/>
    <x v="188"/>
    <s v="CUST616"/>
    <x v="2"/>
    <x v="1"/>
    <s v="Mumbai"/>
    <x v="0"/>
    <s v="Pen"/>
    <n v="3"/>
    <n v="607.41"/>
    <n v="69.599999999999994"/>
  </r>
  <r>
    <n v="10372"/>
    <x v="5"/>
    <n v="7"/>
    <x v="237"/>
    <s v="CUST716"/>
    <x v="0"/>
    <x v="1"/>
    <s v="Mumbai"/>
    <x v="2"/>
    <s v="Monitor"/>
    <n v="6"/>
    <n v="4855.41"/>
    <n v="779.12"/>
  </r>
  <r>
    <n v="10373"/>
    <x v="10"/>
    <n v="12"/>
    <x v="90"/>
    <s v="CUST235"/>
    <x v="0"/>
    <x v="2"/>
    <s v="Bhubaneswar"/>
    <x v="0"/>
    <s v="Pen"/>
    <n v="4"/>
    <n v="1127.5899999999999"/>
    <n v="189.1"/>
  </r>
  <r>
    <n v="10374"/>
    <x v="10"/>
    <n v="12"/>
    <x v="135"/>
    <s v="CUST527"/>
    <x v="0"/>
    <x v="3"/>
    <s v="Chennai"/>
    <x v="0"/>
    <s v="Paper"/>
    <n v="6"/>
    <n v="2855.17"/>
    <n v="464.49"/>
  </r>
  <r>
    <n v="10375"/>
    <x v="2"/>
    <n v="5"/>
    <x v="238"/>
    <s v="CUST868"/>
    <x v="1"/>
    <x v="2"/>
    <s v="Bhubaneswar"/>
    <x v="1"/>
    <s v="Chair"/>
    <n v="1"/>
    <n v="1966.26"/>
    <n v="118.74"/>
  </r>
  <r>
    <n v="10376"/>
    <x v="8"/>
    <n v="8"/>
    <x v="239"/>
    <s v="CUST204"/>
    <x v="0"/>
    <x v="2"/>
    <s v="Bhubaneswar"/>
    <x v="1"/>
    <s v="Chair"/>
    <n v="5"/>
    <n v="1099.5999999999999"/>
    <n v="167.88"/>
  </r>
  <r>
    <n v="10377"/>
    <x v="10"/>
    <n v="12"/>
    <x v="113"/>
    <s v="CUST420"/>
    <x v="0"/>
    <x v="3"/>
    <s v="Chennai"/>
    <x v="1"/>
    <s v="Bookcase"/>
    <n v="1"/>
    <n v="4639.78"/>
    <n v="585.86"/>
  </r>
  <r>
    <n v="10378"/>
    <x v="4"/>
    <n v="4"/>
    <x v="89"/>
    <s v="CUST748"/>
    <x v="0"/>
    <x v="0"/>
    <s v="Delhi"/>
    <x v="0"/>
    <s v="Binder"/>
    <n v="4"/>
    <n v="3140.75"/>
    <n v="683.2"/>
  </r>
  <r>
    <n v="10379"/>
    <x v="6"/>
    <n v="3"/>
    <x v="131"/>
    <s v="CUST852"/>
    <x v="0"/>
    <x v="2"/>
    <s v="Kolkata"/>
    <x v="0"/>
    <s v="Pen"/>
    <n v="5"/>
    <n v="2299.19"/>
    <n v="672.8"/>
  </r>
  <r>
    <n v="10380"/>
    <x v="2"/>
    <n v="5"/>
    <x v="199"/>
    <s v="CUST105"/>
    <x v="2"/>
    <x v="0"/>
    <s v="Chandigarh"/>
    <x v="1"/>
    <s v="Sofa"/>
    <n v="5"/>
    <n v="2827.33"/>
    <n v="174.9"/>
  </r>
  <r>
    <n v="10381"/>
    <x v="10"/>
    <n v="12"/>
    <x v="240"/>
    <s v="CUST408"/>
    <x v="2"/>
    <x v="1"/>
    <s v="Mumbai"/>
    <x v="1"/>
    <s v="Table"/>
    <n v="6"/>
    <n v="3024.71"/>
    <n v="673.72"/>
  </r>
  <r>
    <n v="10382"/>
    <x v="6"/>
    <n v="3"/>
    <x v="241"/>
    <s v="CUST525"/>
    <x v="0"/>
    <x v="2"/>
    <s v="Kolkata"/>
    <x v="0"/>
    <s v="Binder"/>
    <n v="4"/>
    <n v="4789.24"/>
    <n v="784.16"/>
  </r>
  <r>
    <n v="10383"/>
    <x v="1"/>
    <n v="11"/>
    <x v="106"/>
    <s v="CUST643"/>
    <x v="2"/>
    <x v="1"/>
    <s v="Mumbai"/>
    <x v="2"/>
    <s v="Mouse"/>
    <n v="4"/>
    <n v="3350.34"/>
    <n v="415.46"/>
  </r>
  <r>
    <n v="10384"/>
    <x v="2"/>
    <n v="5"/>
    <x v="149"/>
    <s v="CUST140"/>
    <x v="0"/>
    <x v="0"/>
    <s v="Delhi"/>
    <x v="0"/>
    <s v="Binder"/>
    <n v="8"/>
    <n v="1277.7"/>
    <n v="177.18"/>
  </r>
  <r>
    <n v="10385"/>
    <x v="5"/>
    <n v="7"/>
    <x v="82"/>
    <s v="CUST626"/>
    <x v="0"/>
    <x v="2"/>
    <s v="Bhubaneswar"/>
    <x v="1"/>
    <s v="Sofa"/>
    <n v="5"/>
    <n v="2747.16"/>
    <n v="240.47"/>
  </r>
  <r>
    <n v="10386"/>
    <x v="0"/>
    <n v="10"/>
    <x v="36"/>
    <s v="CUST646"/>
    <x v="1"/>
    <x v="1"/>
    <s v="Pune"/>
    <x v="1"/>
    <s v="Bookcase"/>
    <n v="4"/>
    <n v="1669.53"/>
    <n v="108.25"/>
  </r>
  <r>
    <n v="10387"/>
    <x v="8"/>
    <n v="8"/>
    <x v="174"/>
    <s v="CUST762"/>
    <x v="1"/>
    <x v="0"/>
    <s v="Delhi"/>
    <x v="0"/>
    <s v="Pen"/>
    <n v="7"/>
    <n v="4194.76"/>
    <n v="342.45"/>
  </r>
  <r>
    <n v="10388"/>
    <x v="0"/>
    <n v="10"/>
    <x v="148"/>
    <s v="CUST172"/>
    <x v="0"/>
    <x v="3"/>
    <s v="Bengaluru"/>
    <x v="2"/>
    <s v="Keyboard"/>
    <n v="1"/>
    <n v="528.85"/>
    <n v="-45.8"/>
  </r>
  <r>
    <n v="10389"/>
    <x v="10"/>
    <n v="12"/>
    <x v="90"/>
    <s v="CUST221"/>
    <x v="0"/>
    <x v="3"/>
    <s v="Chennai"/>
    <x v="2"/>
    <s v="Monitor"/>
    <n v="8"/>
    <n v="3188.06"/>
    <n v="502.84"/>
  </r>
  <r>
    <n v="10390"/>
    <x v="10"/>
    <n v="12"/>
    <x v="28"/>
    <s v="CUST408"/>
    <x v="0"/>
    <x v="0"/>
    <s v="Delhi"/>
    <x v="0"/>
    <s v="Paper"/>
    <n v="2"/>
    <n v="1852.73"/>
    <n v="296.56"/>
  </r>
  <r>
    <n v="10391"/>
    <x v="4"/>
    <n v="4"/>
    <x v="86"/>
    <s v="CUST239"/>
    <x v="0"/>
    <x v="0"/>
    <s v="Chandigarh"/>
    <x v="2"/>
    <s v="Monitor"/>
    <n v="7"/>
    <n v="4128.3999999999996"/>
    <n v="222.6"/>
  </r>
  <r>
    <n v="10392"/>
    <x v="1"/>
    <n v="11"/>
    <x v="242"/>
    <s v="CUST482"/>
    <x v="1"/>
    <x v="1"/>
    <s v="Pune"/>
    <x v="0"/>
    <s v="Pen"/>
    <n v="5"/>
    <n v="3418.72"/>
    <n v="872.76"/>
  </r>
  <r>
    <n v="10393"/>
    <x v="11"/>
    <n v="6"/>
    <x v="243"/>
    <s v="CUST316"/>
    <x v="2"/>
    <x v="3"/>
    <s v="Bengaluru"/>
    <x v="1"/>
    <s v="Chair"/>
    <n v="7"/>
    <n v="2732.05"/>
    <n v="752.93"/>
  </r>
  <r>
    <n v="10394"/>
    <x v="3"/>
    <n v="1"/>
    <x v="64"/>
    <s v="CUST971"/>
    <x v="0"/>
    <x v="3"/>
    <s v="Bengaluru"/>
    <x v="1"/>
    <s v="Table"/>
    <n v="5"/>
    <n v="1052.2"/>
    <n v="20.350000000000001"/>
  </r>
  <r>
    <n v="10395"/>
    <x v="11"/>
    <n v="6"/>
    <x v="124"/>
    <s v="CUST465"/>
    <x v="1"/>
    <x v="1"/>
    <s v="Mumbai"/>
    <x v="2"/>
    <s v="Laptop"/>
    <n v="5"/>
    <n v="581.19000000000005"/>
    <n v="85.77"/>
  </r>
  <r>
    <n v="10396"/>
    <x v="11"/>
    <n v="6"/>
    <x v="244"/>
    <s v="CUST810"/>
    <x v="0"/>
    <x v="3"/>
    <s v="Bengaluru"/>
    <x v="2"/>
    <s v="Laptop"/>
    <n v="4"/>
    <n v="1657.15"/>
    <n v="207.92"/>
  </r>
  <r>
    <n v="10397"/>
    <x v="1"/>
    <n v="11"/>
    <x v="137"/>
    <s v="CUST546"/>
    <x v="2"/>
    <x v="3"/>
    <s v="Chennai"/>
    <x v="2"/>
    <s v="Monitor"/>
    <n v="3"/>
    <n v="123.68"/>
    <n v="-8.36"/>
  </r>
  <r>
    <n v="10398"/>
    <x v="0"/>
    <n v="10"/>
    <x v="134"/>
    <s v="CUST211"/>
    <x v="1"/>
    <x v="2"/>
    <s v="Kolkata"/>
    <x v="0"/>
    <s v="Binder"/>
    <n v="8"/>
    <n v="2367.96"/>
    <n v="300.22000000000003"/>
  </r>
  <r>
    <n v="10399"/>
    <x v="3"/>
    <n v="1"/>
    <x v="245"/>
    <s v="CUST969"/>
    <x v="0"/>
    <x v="0"/>
    <s v="Chandigarh"/>
    <x v="1"/>
    <s v="Table"/>
    <n v="5"/>
    <n v="3694.37"/>
    <n v="690.72"/>
  </r>
  <r>
    <n v="10400"/>
    <x v="8"/>
    <n v="8"/>
    <x v="206"/>
    <s v="CUST769"/>
    <x v="1"/>
    <x v="0"/>
    <s v="Chandigarh"/>
    <x v="0"/>
    <s v="Pen"/>
    <n v="1"/>
    <n v="2802.81"/>
    <n v="421.08"/>
  </r>
  <r>
    <n v="10401"/>
    <x v="9"/>
    <n v="9"/>
    <x v="136"/>
    <s v="CUST110"/>
    <x v="0"/>
    <x v="2"/>
    <s v="Bhubaneswar"/>
    <x v="1"/>
    <s v="Bookcase"/>
    <n v="3"/>
    <n v="2377.04"/>
    <n v="382.49"/>
  </r>
  <r>
    <n v="10402"/>
    <x v="6"/>
    <n v="3"/>
    <x v="246"/>
    <s v="CUST853"/>
    <x v="0"/>
    <x v="3"/>
    <s v="Bengaluru"/>
    <x v="0"/>
    <s v="Pen"/>
    <n v="8"/>
    <n v="880.19"/>
    <n v="112.05"/>
  </r>
  <r>
    <n v="10403"/>
    <x v="10"/>
    <n v="12"/>
    <x v="247"/>
    <s v="CUST311"/>
    <x v="0"/>
    <x v="1"/>
    <s v="Pune"/>
    <x v="1"/>
    <s v="Table"/>
    <n v="8"/>
    <n v="1235.57"/>
    <n v="120.03"/>
  </r>
  <r>
    <n v="10404"/>
    <x v="9"/>
    <n v="9"/>
    <x v="203"/>
    <s v="CUST748"/>
    <x v="2"/>
    <x v="2"/>
    <s v="Bhubaneswar"/>
    <x v="2"/>
    <s v="Monitor"/>
    <n v="1"/>
    <n v="295.52999999999997"/>
    <n v="52.37"/>
  </r>
  <r>
    <n v="10405"/>
    <x v="2"/>
    <n v="5"/>
    <x v="248"/>
    <s v="CUST485"/>
    <x v="1"/>
    <x v="2"/>
    <s v="Kolkata"/>
    <x v="2"/>
    <s v="Monitor"/>
    <n v="6"/>
    <n v="2979.63"/>
    <n v="810.29"/>
  </r>
  <r>
    <n v="10406"/>
    <x v="8"/>
    <n v="8"/>
    <x v="63"/>
    <s v="CUST269"/>
    <x v="1"/>
    <x v="1"/>
    <s v="Pune"/>
    <x v="2"/>
    <s v="Monitor"/>
    <n v="8"/>
    <n v="4447.1400000000003"/>
    <n v="141.49"/>
  </r>
  <r>
    <n v="10407"/>
    <x v="10"/>
    <n v="12"/>
    <x v="240"/>
    <s v="CUST335"/>
    <x v="2"/>
    <x v="0"/>
    <s v="Chandigarh"/>
    <x v="1"/>
    <s v="Table"/>
    <n v="3"/>
    <n v="871.05"/>
    <n v="92.95"/>
  </r>
  <r>
    <n v="10408"/>
    <x v="3"/>
    <n v="1"/>
    <x v="249"/>
    <s v="CUST349"/>
    <x v="1"/>
    <x v="2"/>
    <s v="Kolkata"/>
    <x v="2"/>
    <s v="Monitor"/>
    <n v="8"/>
    <n v="1132.45"/>
    <n v="18.940000000000001"/>
  </r>
  <r>
    <n v="10409"/>
    <x v="5"/>
    <n v="7"/>
    <x v="48"/>
    <s v="CUST713"/>
    <x v="0"/>
    <x v="3"/>
    <s v="Bengaluru"/>
    <x v="1"/>
    <s v="Chair"/>
    <n v="3"/>
    <n v="373.97"/>
    <n v="24.84"/>
  </r>
  <r>
    <n v="10410"/>
    <x v="4"/>
    <n v="4"/>
    <x v="86"/>
    <s v="CUST950"/>
    <x v="2"/>
    <x v="0"/>
    <s v="Chandigarh"/>
    <x v="1"/>
    <s v="Table"/>
    <n v="8"/>
    <n v="3071.98"/>
    <n v="467.48"/>
  </r>
  <r>
    <n v="10411"/>
    <x v="0"/>
    <n v="10"/>
    <x v="207"/>
    <s v="CUST170"/>
    <x v="1"/>
    <x v="3"/>
    <s v="Bengaluru"/>
    <x v="0"/>
    <s v="Binder"/>
    <n v="3"/>
    <n v="3648.52"/>
    <n v="449.64"/>
  </r>
  <r>
    <n v="10412"/>
    <x v="8"/>
    <n v="8"/>
    <x v="47"/>
    <s v="CUST946"/>
    <x v="1"/>
    <x v="1"/>
    <s v="Pune"/>
    <x v="1"/>
    <s v="Chair"/>
    <n v="1"/>
    <n v="1091.51"/>
    <n v="238.7"/>
  </r>
  <r>
    <n v="10413"/>
    <x v="0"/>
    <n v="10"/>
    <x v="169"/>
    <s v="CUST947"/>
    <x v="1"/>
    <x v="0"/>
    <s v="Delhi"/>
    <x v="2"/>
    <s v="Laptop"/>
    <n v="2"/>
    <n v="556.63"/>
    <n v="29.39"/>
  </r>
  <r>
    <n v="10414"/>
    <x v="5"/>
    <n v="7"/>
    <x v="228"/>
    <s v="CUST458"/>
    <x v="0"/>
    <x v="1"/>
    <s v="Pune"/>
    <x v="2"/>
    <s v="Laptop"/>
    <n v="7"/>
    <n v="1224.48"/>
    <n v="227.87"/>
  </r>
  <r>
    <n v="10415"/>
    <x v="1"/>
    <n v="11"/>
    <x v="176"/>
    <s v="CUST997"/>
    <x v="0"/>
    <x v="0"/>
    <s v="Chandigarh"/>
    <x v="1"/>
    <s v="Bookcase"/>
    <n v="8"/>
    <n v="3852.71"/>
    <n v="1060.83"/>
  </r>
  <r>
    <n v="10416"/>
    <x v="10"/>
    <n v="12"/>
    <x v="39"/>
    <s v="CUST310"/>
    <x v="0"/>
    <x v="1"/>
    <s v="Pune"/>
    <x v="1"/>
    <s v="Chair"/>
    <n v="1"/>
    <n v="2932.14"/>
    <n v="232.26"/>
  </r>
  <r>
    <n v="10417"/>
    <x v="0"/>
    <n v="10"/>
    <x v="34"/>
    <s v="CUST533"/>
    <x v="0"/>
    <x v="2"/>
    <s v="Bhubaneswar"/>
    <x v="2"/>
    <s v="Laptop"/>
    <n v="3"/>
    <n v="2187.75"/>
    <n v="403.42"/>
  </r>
  <r>
    <n v="10418"/>
    <x v="5"/>
    <n v="7"/>
    <x v="250"/>
    <s v="CUST672"/>
    <x v="0"/>
    <x v="2"/>
    <s v="Bhubaneswar"/>
    <x v="0"/>
    <s v="Storage Box"/>
    <n v="4"/>
    <n v="2124.8200000000002"/>
    <n v="474.35"/>
  </r>
  <r>
    <n v="10419"/>
    <x v="4"/>
    <n v="4"/>
    <x v="251"/>
    <s v="CUST557"/>
    <x v="0"/>
    <x v="1"/>
    <s v="Pune"/>
    <x v="2"/>
    <s v="Keyboard"/>
    <n v="7"/>
    <n v="3705.33"/>
    <n v="911.35"/>
  </r>
  <r>
    <n v="10420"/>
    <x v="3"/>
    <n v="1"/>
    <x v="252"/>
    <s v="CUST264"/>
    <x v="2"/>
    <x v="3"/>
    <s v="Bengaluru"/>
    <x v="1"/>
    <s v="Sofa"/>
    <n v="6"/>
    <n v="4024.18"/>
    <n v="750.49"/>
  </r>
  <r>
    <n v="10421"/>
    <x v="1"/>
    <n v="11"/>
    <x v="119"/>
    <s v="CUST138"/>
    <x v="0"/>
    <x v="0"/>
    <s v="Delhi"/>
    <x v="1"/>
    <s v="Sofa"/>
    <n v="7"/>
    <n v="531.89"/>
    <n v="24.49"/>
  </r>
  <r>
    <n v="10422"/>
    <x v="8"/>
    <n v="8"/>
    <x v="253"/>
    <s v="CUST110"/>
    <x v="1"/>
    <x v="1"/>
    <s v="Pune"/>
    <x v="0"/>
    <s v="Binder"/>
    <n v="1"/>
    <n v="4734.01"/>
    <n v="1143.4100000000001"/>
  </r>
  <r>
    <n v="10423"/>
    <x v="6"/>
    <n v="3"/>
    <x v="132"/>
    <s v="CUST188"/>
    <x v="2"/>
    <x v="2"/>
    <s v="Kolkata"/>
    <x v="1"/>
    <s v="Table"/>
    <n v="3"/>
    <n v="3402.72"/>
    <n v="410.66"/>
  </r>
  <r>
    <n v="10424"/>
    <x v="7"/>
    <n v="2"/>
    <x v="23"/>
    <s v="CUST192"/>
    <x v="0"/>
    <x v="1"/>
    <s v="Pune"/>
    <x v="0"/>
    <s v="Storage Box"/>
    <n v="7"/>
    <n v="2971.79"/>
    <n v="459.55"/>
  </r>
  <r>
    <n v="10425"/>
    <x v="0"/>
    <n v="10"/>
    <x v="69"/>
    <s v="CUST104"/>
    <x v="2"/>
    <x v="2"/>
    <s v="Bhubaneswar"/>
    <x v="2"/>
    <s v="Keyboard"/>
    <n v="4"/>
    <n v="3071.18"/>
    <n v="209.94"/>
  </r>
  <r>
    <n v="10426"/>
    <x v="9"/>
    <n v="9"/>
    <x v="205"/>
    <s v="CUST363"/>
    <x v="0"/>
    <x v="3"/>
    <s v="Chennai"/>
    <x v="0"/>
    <s v="Paper"/>
    <n v="2"/>
    <n v="2565.5300000000002"/>
    <n v="334.62"/>
  </r>
  <r>
    <n v="10427"/>
    <x v="8"/>
    <n v="8"/>
    <x v="254"/>
    <s v="CUST700"/>
    <x v="1"/>
    <x v="2"/>
    <s v="Bhubaneswar"/>
    <x v="2"/>
    <s v="Monitor"/>
    <n v="4"/>
    <n v="3811.62"/>
    <n v="1060.67"/>
  </r>
  <r>
    <n v="10428"/>
    <x v="4"/>
    <n v="4"/>
    <x v="251"/>
    <s v="CUST919"/>
    <x v="2"/>
    <x v="1"/>
    <s v="Mumbai"/>
    <x v="2"/>
    <s v="Laptop"/>
    <n v="7"/>
    <n v="3204.94"/>
    <n v="889.14"/>
  </r>
  <r>
    <n v="10429"/>
    <x v="11"/>
    <n v="6"/>
    <x v="110"/>
    <s v="CUST177"/>
    <x v="0"/>
    <x v="1"/>
    <s v="Pune"/>
    <x v="0"/>
    <s v="Paper"/>
    <n v="5"/>
    <n v="1316.46"/>
    <n v="29.06"/>
  </r>
  <r>
    <n v="10430"/>
    <x v="10"/>
    <n v="12"/>
    <x v="83"/>
    <s v="CUST294"/>
    <x v="2"/>
    <x v="3"/>
    <s v="Chennai"/>
    <x v="2"/>
    <s v="Keyboard"/>
    <n v="4"/>
    <n v="4482.1499999999996"/>
    <n v="430.91"/>
  </r>
  <r>
    <n v="10431"/>
    <x v="1"/>
    <n v="11"/>
    <x v="106"/>
    <s v="CUST464"/>
    <x v="1"/>
    <x v="3"/>
    <s v="Bengaluru"/>
    <x v="0"/>
    <s v="Pen"/>
    <n v="5"/>
    <n v="1113.22"/>
    <n v="87.12"/>
  </r>
  <r>
    <n v="10432"/>
    <x v="9"/>
    <n v="9"/>
    <x v="255"/>
    <s v="CUST480"/>
    <x v="0"/>
    <x v="0"/>
    <s v="Delhi"/>
    <x v="1"/>
    <s v="Sofa"/>
    <n v="1"/>
    <n v="3844.8"/>
    <n v="708.48"/>
  </r>
  <r>
    <n v="10433"/>
    <x v="5"/>
    <n v="7"/>
    <x v="196"/>
    <s v="CUST327"/>
    <x v="0"/>
    <x v="2"/>
    <s v="Bhubaneswar"/>
    <x v="0"/>
    <s v="Binder"/>
    <n v="8"/>
    <n v="996.07"/>
    <n v="189"/>
  </r>
  <r>
    <n v="10434"/>
    <x v="10"/>
    <n v="12"/>
    <x v="28"/>
    <s v="CUST894"/>
    <x v="1"/>
    <x v="3"/>
    <s v="Bengaluru"/>
    <x v="0"/>
    <s v="Storage Box"/>
    <n v="8"/>
    <n v="4704.3100000000004"/>
    <n v="238.78"/>
  </r>
  <r>
    <n v="10435"/>
    <x v="0"/>
    <n v="10"/>
    <x v="59"/>
    <s v="CUST203"/>
    <x v="2"/>
    <x v="1"/>
    <s v="Mumbai"/>
    <x v="0"/>
    <s v="Storage Box"/>
    <n v="6"/>
    <n v="3477.13"/>
    <n v="163.06"/>
  </r>
  <r>
    <n v="10436"/>
    <x v="4"/>
    <n v="4"/>
    <x v="256"/>
    <s v="CUST610"/>
    <x v="2"/>
    <x v="2"/>
    <s v="Bhubaneswar"/>
    <x v="1"/>
    <s v="Bookcase"/>
    <n v="4"/>
    <n v="1420.1"/>
    <n v="377"/>
  </r>
  <r>
    <n v="10437"/>
    <x v="6"/>
    <n v="3"/>
    <x v="87"/>
    <s v="CUST689"/>
    <x v="0"/>
    <x v="3"/>
    <s v="Chennai"/>
    <x v="0"/>
    <s v="Binder"/>
    <n v="6"/>
    <n v="4286.2"/>
    <n v="495.96"/>
  </r>
  <r>
    <n v="10438"/>
    <x v="6"/>
    <n v="3"/>
    <x v="30"/>
    <s v="CUST584"/>
    <x v="1"/>
    <x v="3"/>
    <s v="Bengaluru"/>
    <x v="0"/>
    <s v="Binder"/>
    <n v="4"/>
    <n v="2821.17"/>
    <n v="725.4"/>
  </r>
  <r>
    <n v="10439"/>
    <x v="0"/>
    <n v="10"/>
    <x v="7"/>
    <s v="CUST148"/>
    <x v="2"/>
    <x v="3"/>
    <s v="Chennai"/>
    <x v="2"/>
    <s v="Mouse"/>
    <n v="6"/>
    <n v="3948.13"/>
    <n v="437.34"/>
  </r>
  <r>
    <n v="10440"/>
    <x v="11"/>
    <n v="6"/>
    <x v="44"/>
    <s v="CUST366"/>
    <x v="2"/>
    <x v="0"/>
    <s v="Delhi"/>
    <x v="1"/>
    <s v="Table"/>
    <n v="5"/>
    <n v="2435.04"/>
    <n v="460.2"/>
  </r>
  <r>
    <n v="10441"/>
    <x v="4"/>
    <n v="4"/>
    <x v="221"/>
    <s v="CUST690"/>
    <x v="0"/>
    <x v="2"/>
    <s v="Bhubaneswar"/>
    <x v="2"/>
    <s v="Laptop"/>
    <n v="7"/>
    <n v="694.06"/>
    <n v="88.89"/>
  </r>
  <r>
    <n v="10442"/>
    <x v="1"/>
    <n v="11"/>
    <x v="257"/>
    <s v="CUST393"/>
    <x v="2"/>
    <x v="3"/>
    <s v="Chennai"/>
    <x v="2"/>
    <s v="Keyboard"/>
    <n v="8"/>
    <n v="3896.25"/>
    <n v="622.30999999999995"/>
  </r>
  <r>
    <n v="10443"/>
    <x v="7"/>
    <n v="2"/>
    <x v="192"/>
    <s v="CUST181"/>
    <x v="1"/>
    <x v="3"/>
    <s v="Bengaluru"/>
    <x v="0"/>
    <s v="Binder"/>
    <n v="7"/>
    <n v="3193.24"/>
    <n v="531.12"/>
  </r>
  <r>
    <n v="10444"/>
    <x v="8"/>
    <n v="8"/>
    <x v="127"/>
    <s v="CUST899"/>
    <x v="2"/>
    <x v="2"/>
    <s v="Kolkata"/>
    <x v="2"/>
    <s v="Keyboard"/>
    <n v="5"/>
    <n v="3581.12"/>
    <n v="681.5"/>
  </r>
  <r>
    <n v="10445"/>
    <x v="10"/>
    <n v="12"/>
    <x v="258"/>
    <s v="CUST867"/>
    <x v="1"/>
    <x v="1"/>
    <s v="Pune"/>
    <x v="1"/>
    <s v="Table"/>
    <n v="1"/>
    <n v="712.7"/>
    <n v="52.27"/>
  </r>
  <r>
    <n v="10446"/>
    <x v="3"/>
    <n v="1"/>
    <x v="259"/>
    <s v="CUST889"/>
    <x v="2"/>
    <x v="3"/>
    <s v="Bengaluru"/>
    <x v="2"/>
    <s v="Laptop"/>
    <n v="2"/>
    <n v="412.58"/>
    <n v="56.42"/>
  </r>
  <r>
    <n v="10447"/>
    <x v="2"/>
    <n v="5"/>
    <x v="260"/>
    <s v="CUST855"/>
    <x v="2"/>
    <x v="0"/>
    <s v="Delhi"/>
    <x v="2"/>
    <s v="Mouse"/>
    <n v="2"/>
    <n v="3308.68"/>
    <n v="866.93"/>
  </r>
  <r>
    <n v="10448"/>
    <x v="9"/>
    <n v="9"/>
    <x v="40"/>
    <s v="CUST578"/>
    <x v="0"/>
    <x v="1"/>
    <s v="Mumbai"/>
    <x v="1"/>
    <s v="Table"/>
    <n v="1"/>
    <n v="272.26"/>
    <n v="-53.63"/>
  </r>
  <r>
    <n v="10449"/>
    <x v="9"/>
    <n v="9"/>
    <x v="61"/>
    <s v="CUST755"/>
    <x v="0"/>
    <x v="2"/>
    <s v="Bhubaneswar"/>
    <x v="1"/>
    <s v="Table"/>
    <n v="8"/>
    <n v="3192.13"/>
    <n v="610.64"/>
  </r>
  <r>
    <n v="10450"/>
    <x v="11"/>
    <n v="6"/>
    <x v="202"/>
    <s v="CUST110"/>
    <x v="1"/>
    <x v="2"/>
    <s v="Bhubaneswar"/>
    <x v="2"/>
    <s v="Mouse"/>
    <n v="2"/>
    <n v="2265.12"/>
    <n v="294.41000000000003"/>
  </r>
  <r>
    <n v="10451"/>
    <x v="11"/>
    <n v="6"/>
    <x v="37"/>
    <s v="CUST109"/>
    <x v="2"/>
    <x v="3"/>
    <s v="Chennai"/>
    <x v="2"/>
    <s v="Monitor"/>
    <n v="1"/>
    <n v="3470.07"/>
    <n v="524.72"/>
  </r>
  <r>
    <n v="10452"/>
    <x v="6"/>
    <n v="3"/>
    <x v="261"/>
    <s v="CUST832"/>
    <x v="0"/>
    <x v="2"/>
    <s v="Kolkata"/>
    <x v="1"/>
    <s v="Bookcase"/>
    <n v="4"/>
    <n v="2117.5100000000002"/>
    <n v="363.15"/>
  </r>
  <r>
    <n v="10453"/>
    <x v="1"/>
    <n v="11"/>
    <x v="208"/>
    <s v="CUST926"/>
    <x v="0"/>
    <x v="1"/>
    <s v="Pune"/>
    <x v="1"/>
    <s v="Bookcase"/>
    <n v="2"/>
    <n v="2168.9699999999998"/>
    <n v="161.9"/>
  </r>
  <r>
    <n v="10454"/>
    <x v="7"/>
    <n v="2"/>
    <x v="262"/>
    <s v="CUST752"/>
    <x v="2"/>
    <x v="2"/>
    <s v="Bhubaneswar"/>
    <x v="0"/>
    <s v="Binder"/>
    <n v="7"/>
    <n v="1021.2"/>
    <n v="54.88"/>
  </r>
  <r>
    <n v="10455"/>
    <x v="3"/>
    <n v="1"/>
    <x v="249"/>
    <s v="CUST290"/>
    <x v="1"/>
    <x v="1"/>
    <s v="Pune"/>
    <x v="0"/>
    <s v="Storage Box"/>
    <n v="4"/>
    <n v="1671.15"/>
    <n v="50.15"/>
  </r>
  <r>
    <n v="10456"/>
    <x v="11"/>
    <n v="6"/>
    <x v="110"/>
    <s v="CUST530"/>
    <x v="2"/>
    <x v="2"/>
    <s v="Bhubaneswar"/>
    <x v="1"/>
    <s v="Sofa"/>
    <n v="1"/>
    <n v="1240.77"/>
    <n v="59.42"/>
  </r>
  <r>
    <n v="10457"/>
    <x v="2"/>
    <n v="5"/>
    <x v="238"/>
    <s v="CUST894"/>
    <x v="2"/>
    <x v="1"/>
    <s v="Pune"/>
    <x v="2"/>
    <s v="Laptop"/>
    <n v="6"/>
    <n v="493.09"/>
    <n v="102.57"/>
  </r>
  <r>
    <n v="10458"/>
    <x v="2"/>
    <n v="5"/>
    <x v="263"/>
    <s v="CUST494"/>
    <x v="2"/>
    <x v="0"/>
    <s v="Chandigarh"/>
    <x v="1"/>
    <s v="Table"/>
    <n v="5"/>
    <n v="4104.53"/>
    <n v="1042.93"/>
  </r>
  <r>
    <n v="10459"/>
    <x v="10"/>
    <n v="12"/>
    <x v="264"/>
    <s v="CUST419"/>
    <x v="2"/>
    <x v="3"/>
    <s v="Bengaluru"/>
    <x v="1"/>
    <s v="Sofa"/>
    <n v="2"/>
    <n v="2653.58"/>
    <n v="736.93"/>
  </r>
  <r>
    <n v="10460"/>
    <x v="3"/>
    <n v="1"/>
    <x v="252"/>
    <s v="CUST984"/>
    <x v="0"/>
    <x v="3"/>
    <s v="Bengaluru"/>
    <x v="0"/>
    <s v="Paper"/>
    <n v="5"/>
    <n v="2458.0300000000002"/>
    <n v="270.48"/>
  </r>
  <r>
    <n v="10461"/>
    <x v="5"/>
    <n v="7"/>
    <x v="265"/>
    <s v="CUST908"/>
    <x v="1"/>
    <x v="3"/>
    <s v="Bengaluru"/>
    <x v="1"/>
    <s v="Sofa"/>
    <n v="6"/>
    <n v="173.83"/>
    <n v="-15.26"/>
  </r>
  <r>
    <n v="10462"/>
    <x v="7"/>
    <n v="2"/>
    <x v="9"/>
    <s v="CUST802"/>
    <x v="0"/>
    <x v="0"/>
    <s v="Delhi"/>
    <x v="0"/>
    <s v="Storage Box"/>
    <n v="3"/>
    <n v="1919.85"/>
    <n v="123.17"/>
  </r>
  <r>
    <n v="10463"/>
    <x v="4"/>
    <n v="4"/>
    <x v="93"/>
    <s v="CUST424"/>
    <x v="0"/>
    <x v="2"/>
    <s v="Kolkata"/>
    <x v="1"/>
    <s v="Bookcase"/>
    <n v="3"/>
    <n v="3536.51"/>
    <n v="864"/>
  </r>
  <r>
    <n v="10464"/>
    <x v="3"/>
    <n v="1"/>
    <x v="31"/>
    <s v="CUST596"/>
    <x v="0"/>
    <x v="2"/>
    <s v="Bhubaneswar"/>
    <x v="0"/>
    <s v="Pen"/>
    <n v="1"/>
    <n v="3477.32"/>
    <n v="471.76"/>
  </r>
  <r>
    <n v="10465"/>
    <x v="8"/>
    <n v="8"/>
    <x v="10"/>
    <s v="CUST381"/>
    <x v="0"/>
    <x v="1"/>
    <s v="Pune"/>
    <x v="0"/>
    <s v="Storage Box"/>
    <n v="4"/>
    <n v="2876.84"/>
    <n v="502.45"/>
  </r>
  <r>
    <n v="10466"/>
    <x v="3"/>
    <n v="1"/>
    <x v="266"/>
    <s v="CUST894"/>
    <x v="0"/>
    <x v="3"/>
    <s v="Bengaluru"/>
    <x v="0"/>
    <s v="Pen"/>
    <n v="8"/>
    <n v="1548.8"/>
    <n v="142.69999999999999"/>
  </r>
  <r>
    <n v="10467"/>
    <x v="5"/>
    <n v="7"/>
    <x v="215"/>
    <s v="CUST294"/>
    <x v="0"/>
    <x v="1"/>
    <s v="Mumbai"/>
    <x v="1"/>
    <s v="Bookcase"/>
    <n v="4"/>
    <n v="1671.4"/>
    <n v="13.32"/>
  </r>
  <r>
    <n v="10468"/>
    <x v="10"/>
    <n v="12"/>
    <x v="14"/>
    <s v="CUST168"/>
    <x v="1"/>
    <x v="1"/>
    <s v="Mumbai"/>
    <x v="0"/>
    <s v="Binder"/>
    <n v="6"/>
    <n v="2108.04"/>
    <n v="265.49"/>
  </r>
  <r>
    <n v="10469"/>
    <x v="5"/>
    <n v="7"/>
    <x v="215"/>
    <s v="CUST773"/>
    <x v="2"/>
    <x v="3"/>
    <s v="Bengaluru"/>
    <x v="1"/>
    <s v="Table"/>
    <n v="2"/>
    <n v="2478.31"/>
    <n v="128"/>
  </r>
  <r>
    <n v="10470"/>
    <x v="7"/>
    <n v="2"/>
    <x v="267"/>
    <s v="CUST579"/>
    <x v="0"/>
    <x v="2"/>
    <s v="Kolkata"/>
    <x v="2"/>
    <s v="Mouse"/>
    <n v="2"/>
    <n v="164.12"/>
    <n v="-19.579999999999998"/>
  </r>
  <r>
    <n v="10471"/>
    <x v="9"/>
    <n v="9"/>
    <x v="116"/>
    <s v="CUST141"/>
    <x v="0"/>
    <x v="0"/>
    <s v="Chandigarh"/>
    <x v="0"/>
    <s v="Storage Box"/>
    <n v="6"/>
    <n v="3991.82"/>
    <n v="196.08"/>
  </r>
  <r>
    <n v="10472"/>
    <x v="4"/>
    <n v="4"/>
    <x v="165"/>
    <s v="CUST638"/>
    <x v="0"/>
    <x v="0"/>
    <s v="Chandigarh"/>
    <x v="1"/>
    <s v="Table"/>
    <n v="2"/>
    <n v="596"/>
    <n v="25.69"/>
  </r>
  <r>
    <n v="10473"/>
    <x v="10"/>
    <n v="12"/>
    <x v="166"/>
    <s v="CUST781"/>
    <x v="2"/>
    <x v="3"/>
    <s v="Bengaluru"/>
    <x v="0"/>
    <s v="Storage Box"/>
    <n v="2"/>
    <n v="3854.79"/>
    <n v="680.92"/>
  </r>
  <r>
    <n v="10474"/>
    <x v="11"/>
    <n v="6"/>
    <x v="268"/>
    <s v="CUST422"/>
    <x v="0"/>
    <x v="0"/>
    <s v="Delhi"/>
    <x v="1"/>
    <s v="Sofa"/>
    <n v="6"/>
    <n v="3321.91"/>
    <n v="549.5"/>
  </r>
  <r>
    <n v="10475"/>
    <x v="0"/>
    <n v="10"/>
    <x v="142"/>
    <s v="CUST862"/>
    <x v="2"/>
    <x v="2"/>
    <s v="Bhubaneswar"/>
    <x v="2"/>
    <s v="Monitor"/>
    <n v="6"/>
    <n v="3081.23"/>
    <n v="566.46"/>
  </r>
  <r>
    <n v="10476"/>
    <x v="9"/>
    <n v="9"/>
    <x v="269"/>
    <s v="CUST238"/>
    <x v="2"/>
    <x v="2"/>
    <s v="Bhubaneswar"/>
    <x v="2"/>
    <s v="Monitor"/>
    <n v="1"/>
    <n v="3658.94"/>
    <n v="1022.52"/>
  </r>
  <r>
    <n v="10477"/>
    <x v="2"/>
    <n v="5"/>
    <x v="223"/>
    <s v="CUST666"/>
    <x v="0"/>
    <x v="0"/>
    <s v="Chandigarh"/>
    <x v="1"/>
    <s v="Table"/>
    <n v="6"/>
    <n v="206.34"/>
    <n v="-16.260000000000002"/>
  </r>
  <r>
    <n v="10478"/>
    <x v="2"/>
    <n v="5"/>
    <x v="263"/>
    <s v="CUST338"/>
    <x v="2"/>
    <x v="3"/>
    <s v="Bengaluru"/>
    <x v="1"/>
    <s v="Sofa"/>
    <n v="6"/>
    <n v="864.92"/>
    <n v="11.58"/>
  </r>
  <r>
    <n v="10479"/>
    <x v="6"/>
    <n v="3"/>
    <x v="131"/>
    <s v="CUST599"/>
    <x v="0"/>
    <x v="2"/>
    <s v="Kolkata"/>
    <x v="0"/>
    <s v="Storage Box"/>
    <n v="4"/>
    <n v="3697.9"/>
    <n v="774.54"/>
  </r>
  <r>
    <n v="10480"/>
    <x v="8"/>
    <n v="8"/>
    <x v="174"/>
    <s v="CUST526"/>
    <x v="1"/>
    <x v="0"/>
    <s v="Chandigarh"/>
    <x v="1"/>
    <s v="Sofa"/>
    <n v="2"/>
    <n v="3922.6"/>
    <n v="1066.72"/>
  </r>
  <r>
    <n v="10481"/>
    <x v="6"/>
    <n v="3"/>
    <x v="30"/>
    <s v="CUST434"/>
    <x v="0"/>
    <x v="3"/>
    <s v="Bengaluru"/>
    <x v="0"/>
    <s v="Storage Box"/>
    <n v="1"/>
    <n v="1593.44"/>
    <n v="42.08"/>
  </r>
  <r>
    <n v="10482"/>
    <x v="8"/>
    <n v="8"/>
    <x v="171"/>
    <s v="CUST396"/>
    <x v="2"/>
    <x v="3"/>
    <s v="Bengaluru"/>
    <x v="1"/>
    <s v="Sofa"/>
    <n v="8"/>
    <n v="3788.92"/>
    <n v="725.34"/>
  </r>
  <r>
    <n v="10483"/>
    <x v="7"/>
    <n v="2"/>
    <x v="177"/>
    <s v="CUST508"/>
    <x v="0"/>
    <x v="3"/>
    <s v="Bengaluru"/>
    <x v="2"/>
    <s v="Laptop"/>
    <n v="8"/>
    <n v="2900.06"/>
    <n v="140.84"/>
  </r>
  <r>
    <n v="10484"/>
    <x v="1"/>
    <n v="11"/>
    <x v="139"/>
    <s v="CUST853"/>
    <x v="0"/>
    <x v="1"/>
    <s v="Mumbai"/>
    <x v="1"/>
    <s v="Sofa"/>
    <n v="4"/>
    <n v="2490.52"/>
    <n v="511.03"/>
  </r>
  <r>
    <n v="10485"/>
    <x v="10"/>
    <n v="12"/>
    <x v="128"/>
    <s v="CUST523"/>
    <x v="2"/>
    <x v="3"/>
    <s v="Bengaluru"/>
    <x v="1"/>
    <s v="Bookcase"/>
    <n v="7"/>
    <n v="1684.72"/>
    <n v="464.51"/>
  </r>
  <r>
    <n v="10486"/>
    <x v="11"/>
    <n v="6"/>
    <x v="108"/>
    <s v="CUST731"/>
    <x v="2"/>
    <x v="2"/>
    <s v="Bhubaneswar"/>
    <x v="1"/>
    <s v="Bookcase"/>
    <n v="6"/>
    <n v="3010"/>
    <n v="138.22999999999999"/>
  </r>
  <r>
    <n v="10487"/>
    <x v="7"/>
    <n v="2"/>
    <x v="177"/>
    <s v="CUST215"/>
    <x v="0"/>
    <x v="3"/>
    <s v="Chennai"/>
    <x v="1"/>
    <s v="Table"/>
    <n v="4"/>
    <n v="3458.26"/>
    <n v="234.93"/>
  </r>
  <r>
    <n v="10488"/>
    <x v="8"/>
    <n v="8"/>
    <x v="56"/>
    <s v="CUST582"/>
    <x v="1"/>
    <x v="0"/>
    <s v="Delhi"/>
    <x v="0"/>
    <s v="Pen"/>
    <n v="5"/>
    <n v="167.29"/>
    <n v="26.25"/>
  </r>
  <r>
    <n v="10489"/>
    <x v="1"/>
    <n v="11"/>
    <x v="270"/>
    <s v="CUST847"/>
    <x v="1"/>
    <x v="2"/>
    <s v="Kolkata"/>
    <x v="0"/>
    <s v="Pen"/>
    <n v="4"/>
    <n v="2777.48"/>
    <n v="605.02"/>
  </r>
  <r>
    <n v="10490"/>
    <x v="1"/>
    <n v="11"/>
    <x v="106"/>
    <s v="CUST377"/>
    <x v="1"/>
    <x v="0"/>
    <s v="Chandigarh"/>
    <x v="0"/>
    <s v="Paper"/>
    <n v="5"/>
    <n v="934.57"/>
    <n v="34.17"/>
  </r>
  <r>
    <n v="10491"/>
    <x v="7"/>
    <n v="2"/>
    <x v="210"/>
    <s v="CUST119"/>
    <x v="2"/>
    <x v="1"/>
    <s v="Mumbai"/>
    <x v="1"/>
    <s v="Sofa"/>
    <n v="5"/>
    <n v="3348.61"/>
    <n v="895.62"/>
  </r>
  <r>
    <n v="10492"/>
    <x v="4"/>
    <n v="4"/>
    <x v="221"/>
    <s v="CUST612"/>
    <x v="2"/>
    <x v="1"/>
    <s v="Mumbai"/>
    <x v="2"/>
    <s v="Laptop"/>
    <n v="6"/>
    <n v="2474.84"/>
    <n v="484.38"/>
  </r>
  <r>
    <n v="10493"/>
    <x v="10"/>
    <n v="12"/>
    <x v="113"/>
    <s v="CUST460"/>
    <x v="2"/>
    <x v="0"/>
    <s v="Delhi"/>
    <x v="1"/>
    <s v="Bookcase"/>
    <n v="6"/>
    <n v="2500.67"/>
    <n v="588.57000000000005"/>
  </r>
  <r>
    <n v="10494"/>
    <x v="3"/>
    <n v="1"/>
    <x v="271"/>
    <s v="CUST668"/>
    <x v="2"/>
    <x v="2"/>
    <s v="Kolkata"/>
    <x v="0"/>
    <s v="Binder"/>
    <n v="1"/>
    <n v="3166.38"/>
    <n v="764.84"/>
  </r>
  <r>
    <n v="10495"/>
    <x v="1"/>
    <n v="11"/>
    <x v="208"/>
    <s v="CUST993"/>
    <x v="0"/>
    <x v="3"/>
    <s v="Bengaluru"/>
    <x v="2"/>
    <s v="Monitor"/>
    <n v="3"/>
    <n v="530.20000000000005"/>
    <n v="-18.89"/>
  </r>
  <r>
    <n v="10496"/>
    <x v="0"/>
    <n v="10"/>
    <x v="22"/>
    <s v="CUST234"/>
    <x v="1"/>
    <x v="3"/>
    <s v="Chennai"/>
    <x v="1"/>
    <s v="Table"/>
    <n v="7"/>
    <n v="4855.63"/>
    <n v="1314.19"/>
  </r>
  <r>
    <n v="10497"/>
    <x v="10"/>
    <n v="12"/>
    <x v="39"/>
    <s v="CUST678"/>
    <x v="1"/>
    <x v="3"/>
    <s v="Bengaluru"/>
    <x v="1"/>
    <s v="Bookcase"/>
    <n v="3"/>
    <n v="2207.3200000000002"/>
    <n v="534.98"/>
  </r>
  <r>
    <n v="10498"/>
    <x v="11"/>
    <n v="6"/>
    <x v="138"/>
    <s v="CUST523"/>
    <x v="2"/>
    <x v="2"/>
    <s v="Kolkata"/>
    <x v="0"/>
    <s v="Paper"/>
    <n v="3"/>
    <n v="1656.23"/>
    <n v="374.32"/>
  </r>
  <r>
    <n v="10499"/>
    <x v="1"/>
    <n v="11"/>
    <x v="208"/>
    <s v="CUST731"/>
    <x v="2"/>
    <x v="2"/>
    <s v="Bhubaneswar"/>
    <x v="0"/>
    <s v="Binder"/>
    <n v="3"/>
    <n v="3917.63"/>
    <n v="281.98"/>
  </r>
  <r>
    <n v="10500"/>
    <x v="1"/>
    <n v="11"/>
    <x v="170"/>
    <s v="CUST580"/>
    <x v="0"/>
    <x v="3"/>
    <s v="Bengaluru"/>
    <x v="1"/>
    <s v="Chair"/>
    <n v="6"/>
    <n v="489.43"/>
    <n v="106.48"/>
  </r>
  <r>
    <n v="10501"/>
    <x v="3"/>
    <n v="1"/>
    <x v="272"/>
    <s v="CUST376"/>
    <x v="2"/>
    <x v="2"/>
    <s v="Kolkata"/>
    <x v="2"/>
    <s v="Monitor"/>
    <n v="8"/>
    <n v="773.81"/>
    <n v="72.849999999999994"/>
  </r>
  <r>
    <n v="10502"/>
    <x v="9"/>
    <n v="9"/>
    <x v="181"/>
    <s v="CUST804"/>
    <x v="2"/>
    <x v="3"/>
    <s v="Bengaluru"/>
    <x v="1"/>
    <s v="Chair"/>
    <n v="3"/>
    <n v="4642.8100000000004"/>
    <n v="1289.45"/>
  </r>
  <r>
    <n v="10503"/>
    <x v="5"/>
    <n v="7"/>
    <x v="273"/>
    <s v="CUST726"/>
    <x v="0"/>
    <x v="1"/>
    <s v="Mumbai"/>
    <x v="2"/>
    <s v="Monitor"/>
    <n v="1"/>
    <n v="3078.86"/>
    <n v="716.42"/>
  </r>
  <r>
    <n v="10504"/>
    <x v="3"/>
    <n v="1"/>
    <x v="31"/>
    <s v="CUST671"/>
    <x v="2"/>
    <x v="0"/>
    <s v="Delhi"/>
    <x v="2"/>
    <s v="Monitor"/>
    <n v="1"/>
    <n v="4401.12"/>
    <n v="436.63"/>
  </r>
  <r>
    <n v="10505"/>
    <x v="6"/>
    <n v="3"/>
    <x v="274"/>
    <s v="CUST532"/>
    <x v="2"/>
    <x v="0"/>
    <s v="Delhi"/>
    <x v="2"/>
    <s v="Monitor"/>
    <n v="7"/>
    <n v="4433.55"/>
    <n v="1050.6199999999999"/>
  </r>
  <r>
    <n v="10506"/>
    <x v="10"/>
    <n v="12"/>
    <x v="53"/>
    <s v="CUST659"/>
    <x v="1"/>
    <x v="0"/>
    <s v="Delhi"/>
    <x v="2"/>
    <s v="Monitor"/>
    <n v="2"/>
    <n v="3640.97"/>
    <n v="207.19"/>
  </r>
  <r>
    <n v="10507"/>
    <x v="4"/>
    <n v="4"/>
    <x v="275"/>
    <s v="CUST565"/>
    <x v="1"/>
    <x v="1"/>
    <s v="Pune"/>
    <x v="2"/>
    <s v="Monitor"/>
    <n v="1"/>
    <n v="976.51"/>
    <n v="121.67"/>
  </r>
  <r>
    <n v="10508"/>
    <x v="7"/>
    <n v="2"/>
    <x v="177"/>
    <s v="CUST636"/>
    <x v="0"/>
    <x v="2"/>
    <s v="Bhubaneswar"/>
    <x v="0"/>
    <s v="Pen"/>
    <n v="2"/>
    <n v="546.84"/>
    <n v="60.48"/>
  </r>
  <r>
    <n v="10509"/>
    <x v="10"/>
    <n v="12"/>
    <x v="14"/>
    <s v="CUST983"/>
    <x v="1"/>
    <x v="1"/>
    <s v="Mumbai"/>
    <x v="2"/>
    <s v="Monitor"/>
    <n v="1"/>
    <n v="3864.48"/>
    <n v="1018.02"/>
  </r>
  <r>
    <n v="10510"/>
    <x v="2"/>
    <n v="5"/>
    <x v="84"/>
    <s v="CUST741"/>
    <x v="1"/>
    <x v="3"/>
    <s v="Bengaluru"/>
    <x v="1"/>
    <s v="Chair"/>
    <n v="7"/>
    <n v="1609.5"/>
    <n v="278.18"/>
  </r>
  <r>
    <n v="10511"/>
    <x v="3"/>
    <n v="1"/>
    <x v="41"/>
    <s v="CUST722"/>
    <x v="2"/>
    <x v="0"/>
    <s v="Delhi"/>
    <x v="1"/>
    <s v="Chair"/>
    <n v="5"/>
    <n v="159.82"/>
    <n v="-21.99"/>
  </r>
  <r>
    <n v="10512"/>
    <x v="2"/>
    <n v="5"/>
    <x v="26"/>
    <s v="CUST660"/>
    <x v="2"/>
    <x v="3"/>
    <s v="Bengaluru"/>
    <x v="0"/>
    <s v="Storage Box"/>
    <n v="8"/>
    <n v="2109.7399999999998"/>
    <n v="87.36"/>
  </r>
  <r>
    <n v="10513"/>
    <x v="10"/>
    <n v="12"/>
    <x v="276"/>
    <s v="CUST691"/>
    <x v="0"/>
    <x v="3"/>
    <s v="Bengaluru"/>
    <x v="1"/>
    <s v="Table"/>
    <n v="1"/>
    <n v="3301.06"/>
    <n v="109.97"/>
  </r>
  <r>
    <n v="10514"/>
    <x v="1"/>
    <n v="11"/>
    <x v="91"/>
    <s v="CUST776"/>
    <x v="0"/>
    <x v="2"/>
    <s v="Bhubaneswar"/>
    <x v="1"/>
    <s v="Chair"/>
    <n v="2"/>
    <n v="2143.09"/>
    <n v="135.44999999999999"/>
  </r>
  <r>
    <n v="10515"/>
    <x v="5"/>
    <n v="7"/>
    <x v="50"/>
    <s v="CUST939"/>
    <x v="1"/>
    <x v="3"/>
    <s v="Chennai"/>
    <x v="0"/>
    <s v="Binder"/>
    <n v="1"/>
    <n v="556.32000000000005"/>
    <n v="32.58"/>
  </r>
  <r>
    <n v="10516"/>
    <x v="5"/>
    <n v="7"/>
    <x v="237"/>
    <s v="CUST637"/>
    <x v="1"/>
    <x v="1"/>
    <s v="Mumbai"/>
    <x v="2"/>
    <s v="Monitor"/>
    <n v="3"/>
    <n v="697.91"/>
    <n v="151.91999999999999"/>
  </r>
  <r>
    <n v="10517"/>
    <x v="10"/>
    <n v="12"/>
    <x v="277"/>
    <s v="CUST394"/>
    <x v="2"/>
    <x v="3"/>
    <s v="Bengaluru"/>
    <x v="1"/>
    <s v="Chair"/>
    <n v="8"/>
    <n v="3647.96"/>
    <n v="655.13"/>
  </r>
  <r>
    <n v="10518"/>
    <x v="9"/>
    <n v="9"/>
    <x v="278"/>
    <s v="CUST604"/>
    <x v="1"/>
    <x v="2"/>
    <s v="Bhubaneswar"/>
    <x v="0"/>
    <s v="Binder"/>
    <n v="3"/>
    <n v="3110.02"/>
    <n v="468.53"/>
  </r>
  <r>
    <n v="10519"/>
    <x v="4"/>
    <n v="4"/>
    <x v="168"/>
    <s v="CUST918"/>
    <x v="0"/>
    <x v="3"/>
    <s v="Chennai"/>
    <x v="1"/>
    <s v="Chair"/>
    <n v="2"/>
    <n v="217.54"/>
    <n v="33.1"/>
  </r>
  <r>
    <n v="10520"/>
    <x v="4"/>
    <n v="4"/>
    <x v="275"/>
    <s v="CUST806"/>
    <x v="2"/>
    <x v="1"/>
    <s v="Pune"/>
    <x v="1"/>
    <s v="Bookcase"/>
    <n v="6"/>
    <n v="2846.04"/>
    <n v="594.76"/>
  </r>
  <r>
    <n v="10521"/>
    <x v="5"/>
    <n v="7"/>
    <x v="265"/>
    <s v="CUST841"/>
    <x v="0"/>
    <x v="2"/>
    <s v="Kolkata"/>
    <x v="2"/>
    <s v="Keyboard"/>
    <n v="6"/>
    <n v="3858.46"/>
    <n v="269.39999999999998"/>
  </r>
  <r>
    <n v="10522"/>
    <x v="3"/>
    <n v="1"/>
    <x v="152"/>
    <s v="CUST761"/>
    <x v="1"/>
    <x v="0"/>
    <s v="Delhi"/>
    <x v="1"/>
    <s v="Bookcase"/>
    <n v="6"/>
    <n v="4619.17"/>
    <n v="736.78"/>
  </r>
  <r>
    <n v="10523"/>
    <x v="3"/>
    <n v="1"/>
    <x v="198"/>
    <s v="CUST955"/>
    <x v="0"/>
    <x v="1"/>
    <s v="Mumbai"/>
    <x v="0"/>
    <s v="Storage Box"/>
    <n v="6"/>
    <n v="2366.1"/>
    <n v="507.13"/>
  </r>
  <r>
    <n v="10524"/>
    <x v="5"/>
    <n v="7"/>
    <x v="5"/>
    <s v="CUST167"/>
    <x v="1"/>
    <x v="2"/>
    <s v="Bhubaneswar"/>
    <x v="0"/>
    <s v="Paper"/>
    <n v="4"/>
    <n v="2929.25"/>
    <n v="297.77"/>
  </r>
  <r>
    <n v="10525"/>
    <x v="11"/>
    <n v="6"/>
    <x v="145"/>
    <s v="CUST822"/>
    <x v="2"/>
    <x v="2"/>
    <s v="Kolkata"/>
    <x v="2"/>
    <s v="Monitor"/>
    <n v="3"/>
    <n v="2897.81"/>
    <n v="367.59"/>
  </r>
  <r>
    <n v="10526"/>
    <x v="11"/>
    <n v="6"/>
    <x v="85"/>
    <s v="CUST321"/>
    <x v="0"/>
    <x v="0"/>
    <s v="Chandigarh"/>
    <x v="2"/>
    <s v="Laptop"/>
    <n v="8"/>
    <n v="4397.54"/>
    <n v="545.44000000000005"/>
  </r>
  <r>
    <n v="10527"/>
    <x v="3"/>
    <n v="1"/>
    <x v="279"/>
    <s v="CUST918"/>
    <x v="2"/>
    <x v="2"/>
    <s v="Kolkata"/>
    <x v="1"/>
    <s v="Bookcase"/>
    <n v="1"/>
    <n v="3911.17"/>
    <n v="1044.25"/>
  </r>
  <r>
    <n v="10528"/>
    <x v="9"/>
    <n v="9"/>
    <x v="117"/>
    <s v="CUST792"/>
    <x v="1"/>
    <x v="3"/>
    <s v="Bengaluru"/>
    <x v="2"/>
    <s v="Monitor"/>
    <n v="5"/>
    <n v="3900.11"/>
    <n v="247.54"/>
  </r>
  <r>
    <n v="10529"/>
    <x v="1"/>
    <n v="11"/>
    <x v="212"/>
    <s v="CUST992"/>
    <x v="1"/>
    <x v="3"/>
    <s v="Bengaluru"/>
    <x v="2"/>
    <s v="Monitor"/>
    <n v="2"/>
    <n v="120.14"/>
    <n v="-34.700000000000003"/>
  </r>
  <r>
    <n v="10530"/>
    <x v="4"/>
    <n v="4"/>
    <x v="229"/>
    <s v="CUST428"/>
    <x v="1"/>
    <x v="2"/>
    <s v="Bhubaneswar"/>
    <x v="1"/>
    <s v="Chair"/>
    <n v="5"/>
    <n v="210.15"/>
    <n v="-13.53"/>
  </r>
  <r>
    <n v="10531"/>
    <x v="7"/>
    <n v="2"/>
    <x v="280"/>
    <s v="CUST115"/>
    <x v="0"/>
    <x v="3"/>
    <s v="Chennai"/>
    <x v="2"/>
    <s v="Keyboard"/>
    <n v="8"/>
    <n v="3388.51"/>
    <n v="384.65"/>
  </r>
  <r>
    <n v="10532"/>
    <x v="0"/>
    <n v="10"/>
    <x v="100"/>
    <s v="CUST350"/>
    <x v="1"/>
    <x v="0"/>
    <s v="Delhi"/>
    <x v="0"/>
    <s v="Binder"/>
    <n v="6"/>
    <n v="1428.16"/>
    <n v="327.8"/>
  </r>
  <r>
    <n v="10533"/>
    <x v="3"/>
    <n v="1"/>
    <x v="281"/>
    <s v="CUST208"/>
    <x v="2"/>
    <x v="0"/>
    <s v="Chandigarh"/>
    <x v="0"/>
    <s v="Binder"/>
    <n v="8"/>
    <n v="348.56"/>
    <n v="-70.37"/>
  </r>
  <r>
    <n v="10534"/>
    <x v="10"/>
    <n v="12"/>
    <x v="92"/>
    <s v="CUST816"/>
    <x v="2"/>
    <x v="0"/>
    <s v="Delhi"/>
    <x v="2"/>
    <s v="Monitor"/>
    <n v="3"/>
    <n v="3552.92"/>
    <n v="906.36"/>
  </r>
  <r>
    <n v="10535"/>
    <x v="6"/>
    <n v="3"/>
    <x v="87"/>
    <s v="CUST195"/>
    <x v="0"/>
    <x v="2"/>
    <s v="Bhubaneswar"/>
    <x v="2"/>
    <s v="Mouse"/>
    <n v="2"/>
    <n v="4871.04"/>
    <n v="1117.3"/>
  </r>
  <r>
    <n v="10536"/>
    <x v="1"/>
    <n v="11"/>
    <x v="139"/>
    <s v="CUST364"/>
    <x v="2"/>
    <x v="1"/>
    <s v="Mumbai"/>
    <x v="2"/>
    <s v="Keyboard"/>
    <n v="8"/>
    <n v="2405.67"/>
    <n v="675.72"/>
  </r>
  <r>
    <n v="10537"/>
    <x v="11"/>
    <n v="6"/>
    <x v="108"/>
    <s v="CUST590"/>
    <x v="2"/>
    <x v="1"/>
    <s v="Mumbai"/>
    <x v="0"/>
    <s v="Binder"/>
    <n v="6"/>
    <n v="2321.09"/>
    <n v="86.08"/>
  </r>
  <r>
    <n v="10538"/>
    <x v="0"/>
    <n v="10"/>
    <x v="282"/>
    <s v="CUST765"/>
    <x v="1"/>
    <x v="3"/>
    <s v="Chennai"/>
    <x v="2"/>
    <s v="Mouse"/>
    <n v="2"/>
    <n v="2087.86"/>
    <n v="466.52"/>
  </r>
  <r>
    <n v="10539"/>
    <x v="5"/>
    <n v="7"/>
    <x v="230"/>
    <s v="CUST167"/>
    <x v="2"/>
    <x v="2"/>
    <s v="Bhubaneswar"/>
    <x v="2"/>
    <s v="Monitor"/>
    <n v="4"/>
    <n v="3142.29"/>
    <n v="490.18"/>
  </r>
  <r>
    <n v="10540"/>
    <x v="10"/>
    <n v="12"/>
    <x v="172"/>
    <s v="CUST687"/>
    <x v="2"/>
    <x v="3"/>
    <s v="Chennai"/>
    <x v="2"/>
    <s v="Keyboard"/>
    <n v="4"/>
    <n v="948.12"/>
    <n v="132.19"/>
  </r>
  <r>
    <n v="10541"/>
    <x v="7"/>
    <n v="2"/>
    <x v="210"/>
    <s v="CUST801"/>
    <x v="0"/>
    <x v="0"/>
    <s v="Chandigarh"/>
    <x v="2"/>
    <s v="Laptop"/>
    <n v="8"/>
    <n v="963.25"/>
    <n v="271.39"/>
  </r>
  <r>
    <n v="10542"/>
    <x v="1"/>
    <n v="11"/>
    <x v="70"/>
    <s v="CUST929"/>
    <x v="1"/>
    <x v="1"/>
    <s v="Pune"/>
    <x v="2"/>
    <s v="Laptop"/>
    <n v="2"/>
    <n v="1166.3"/>
    <n v="40.74"/>
  </r>
  <r>
    <n v="10543"/>
    <x v="11"/>
    <n v="6"/>
    <x v="283"/>
    <s v="CUST406"/>
    <x v="0"/>
    <x v="3"/>
    <s v="Bengaluru"/>
    <x v="2"/>
    <s v="Keyboard"/>
    <n v="7"/>
    <n v="3116.3"/>
    <n v="483.62"/>
  </r>
  <r>
    <n v="10544"/>
    <x v="6"/>
    <n v="3"/>
    <x v="284"/>
    <s v="CUST972"/>
    <x v="2"/>
    <x v="2"/>
    <s v="Bhubaneswar"/>
    <x v="0"/>
    <s v="Binder"/>
    <n v="2"/>
    <n v="2955.36"/>
    <n v="548.52"/>
  </r>
  <r>
    <n v="10545"/>
    <x v="2"/>
    <n v="5"/>
    <x v="111"/>
    <s v="CUST986"/>
    <x v="1"/>
    <x v="0"/>
    <s v="Chandigarh"/>
    <x v="0"/>
    <s v="Paper"/>
    <n v="1"/>
    <n v="3546.44"/>
    <n v="869.09"/>
  </r>
  <r>
    <n v="10546"/>
    <x v="4"/>
    <n v="4"/>
    <x v="104"/>
    <s v="CUST778"/>
    <x v="1"/>
    <x v="3"/>
    <s v="Chennai"/>
    <x v="0"/>
    <s v="Storage Box"/>
    <n v="6"/>
    <n v="3587.69"/>
    <n v="500.05"/>
  </r>
  <r>
    <n v="10547"/>
    <x v="10"/>
    <n v="12"/>
    <x v="128"/>
    <s v="CUST228"/>
    <x v="1"/>
    <x v="1"/>
    <s v="Mumbai"/>
    <x v="1"/>
    <s v="Sofa"/>
    <n v="6"/>
    <n v="4215.82"/>
    <n v="273.64"/>
  </r>
  <r>
    <n v="10548"/>
    <x v="6"/>
    <n v="3"/>
    <x v="123"/>
    <s v="CUST186"/>
    <x v="1"/>
    <x v="0"/>
    <s v="Delhi"/>
    <x v="0"/>
    <s v="Paper"/>
    <n v="3"/>
    <n v="3634.56"/>
    <n v="580.29"/>
  </r>
  <r>
    <n v="10549"/>
    <x v="5"/>
    <n v="7"/>
    <x v="230"/>
    <s v="CUST463"/>
    <x v="1"/>
    <x v="1"/>
    <s v="Pune"/>
    <x v="0"/>
    <s v="Storage Box"/>
    <n v="3"/>
    <n v="2326.5300000000002"/>
    <n v="281"/>
  </r>
  <r>
    <n v="10550"/>
    <x v="5"/>
    <n v="7"/>
    <x v="71"/>
    <s v="CUST659"/>
    <x v="0"/>
    <x v="3"/>
    <s v="Chennai"/>
    <x v="0"/>
    <s v="Paper"/>
    <n v="8"/>
    <n v="4249.34"/>
    <n v="413.8"/>
  </r>
  <r>
    <n v="10551"/>
    <x v="6"/>
    <n v="3"/>
    <x v="179"/>
    <s v="CUST847"/>
    <x v="0"/>
    <x v="2"/>
    <s v="Kolkata"/>
    <x v="1"/>
    <s v="Sofa"/>
    <n v="6"/>
    <n v="654.51"/>
    <n v="42.47"/>
  </r>
  <r>
    <n v="10552"/>
    <x v="10"/>
    <n v="12"/>
    <x v="247"/>
    <s v="CUST179"/>
    <x v="0"/>
    <x v="2"/>
    <s v="Bhubaneswar"/>
    <x v="0"/>
    <s v="Paper"/>
    <n v="2"/>
    <n v="1301.6300000000001"/>
    <n v="203.93"/>
  </r>
  <r>
    <n v="10553"/>
    <x v="11"/>
    <n v="6"/>
    <x v="124"/>
    <s v="CUST531"/>
    <x v="2"/>
    <x v="2"/>
    <s v="Kolkata"/>
    <x v="2"/>
    <s v="Laptop"/>
    <n v="8"/>
    <n v="2324.77"/>
    <n v="585.42999999999995"/>
  </r>
  <r>
    <n v="10554"/>
    <x v="8"/>
    <n v="8"/>
    <x v="79"/>
    <s v="CUST692"/>
    <x v="1"/>
    <x v="2"/>
    <s v="Bhubaneswar"/>
    <x v="1"/>
    <s v="Chair"/>
    <n v="5"/>
    <n v="3662.16"/>
    <n v="693.06"/>
  </r>
  <r>
    <n v="10555"/>
    <x v="2"/>
    <n v="5"/>
    <x v="2"/>
    <s v="CUST358"/>
    <x v="1"/>
    <x v="0"/>
    <s v="Chandigarh"/>
    <x v="0"/>
    <s v="Paper"/>
    <n v="5"/>
    <n v="2475.3200000000002"/>
    <n v="194.56"/>
  </r>
  <r>
    <n v="10556"/>
    <x v="10"/>
    <n v="12"/>
    <x v="14"/>
    <s v="CUST557"/>
    <x v="2"/>
    <x v="2"/>
    <s v="Bhubaneswar"/>
    <x v="2"/>
    <s v="Laptop"/>
    <n v="2"/>
    <n v="3058.73"/>
    <n v="775"/>
  </r>
  <r>
    <n v="10557"/>
    <x v="7"/>
    <n v="2"/>
    <x v="177"/>
    <s v="CUST248"/>
    <x v="0"/>
    <x v="3"/>
    <s v="Chennai"/>
    <x v="0"/>
    <s v="Pen"/>
    <n v="8"/>
    <n v="985.97"/>
    <n v="175.99"/>
  </r>
  <r>
    <n v="10558"/>
    <x v="0"/>
    <n v="10"/>
    <x v="99"/>
    <s v="CUST851"/>
    <x v="2"/>
    <x v="3"/>
    <s v="Chennai"/>
    <x v="2"/>
    <s v="Monitor"/>
    <n v="4"/>
    <n v="3337.27"/>
    <n v="755.85"/>
  </r>
  <r>
    <n v="10559"/>
    <x v="9"/>
    <n v="9"/>
    <x v="105"/>
    <s v="CUST339"/>
    <x v="2"/>
    <x v="0"/>
    <s v="Chandigarh"/>
    <x v="1"/>
    <s v="Chair"/>
    <n v="3"/>
    <n v="2373.67"/>
    <n v="353.66"/>
  </r>
  <r>
    <n v="10560"/>
    <x v="10"/>
    <n v="12"/>
    <x v="187"/>
    <s v="CUST423"/>
    <x v="0"/>
    <x v="1"/>
    <s v="Pune"/>
    <x v="2"/>
    <s v="Mouse"/>
    <n v="7"/>
    <n v="158.13"/>
    <n v="-0.32"/>
  </r>
  <r>
    <n v="10561"/>
    <x v="2"/>
    <n v="5"/>
    <x v="55"/>
    <s v="CUST373"/>
    <x v="1"/>
    <x v="0"/>
    <s v="Delhi"/>
    <x v="0"/>
    <s v="Binder"/>
    <n v="7"/>
    <n v="3091.38"/>
    <n v="631.26"/>
  </r>
  <r>
    <n v="10562"/>
    <x v="11"/>
    <n v="6"/>
    <x v="35"/>
    <s v="CUST660"/>
    <x v="1"/>
    <x v="2"/>
    <s v="Bhubaneswar"/>
    <x v="2"/>
    <s v="Mouse"/>
    <n v="4"/>
    <n v="2647.77"/>
    <n v="481.68"/>
  </r>
  <r>
    <n v="10563"/>
    <x v="2"/>
    <n v="5"/>
    <x v="285"/>
    <s v="CUST357"/>
    <x v="1"/>
    <x v="0"/>
    <s v="Delhi"/>
    <x v="1"/>
    <s v="Sofa"/>
    <n v="2"/>
    <n v="2673.79"/>
    <n v="556.76"/>
  </r>
  <r>
    <n v="10564"/>
    <x v="1"/>
    <n v="11"/>
    <x v="176"/>
    <s v="CUST753"/>
    <x v="1"/>
    <x v="0"/>
    <s v="Delhi"/>
    <x v="0"/>
    <s v="Paper"/>
    <n v="1"/>
    <n v="4698.68"/>
    <n v="922.68"/>
  </r>
  <r>
    <n v="10565"/>
    <x v="4"/>
    <n v="4"/>
    <x v="256"/>
    <s v="CUST213"/>
    <x v="0"/>
    <x v="0"/>
    <s v="Delhi"/>
    <x v="0"/>
    <s v="Pen"/>
    <n v="7"/>
    <n v="3316.33"/>
    <n v="855.3"/>
  </r>
  <r>
    <n v="10566"/>
    <x v="8"/>
    <n v="8"/>
    <x v="286"/>
    <s v="CUST808"/>
    <x v="0"/>
    <x v="3"/>
    <s v="Chennai"/>
    <x v="2"/>
    <s v="Monitor"/>
    <n v="2"/>
    <n v="3230.02"/>
    <n v="878.94"/>
  </r>
  <r>
    <n v="10567"/>
    <x v="3"/>
    <n v="1"/>
    <x v="157"/>
    <s v="CUST364"/>
    <x v="2"/>
    <x v="2"/>
    <s v="Bhubaneswar"/>
    <x v="1"/>
    <s v="Chair"/>
    <n v="5"/>
    <n v="3907.82"/>
    <n v="536.1"/>
  </r>
  <r>
    <n v="10568"/>
    <x v="6"/>
    <n v="3"/>
    <x v="143"/>
    <s v="CUST653"/>
    <x v="2"/>
    <x v="3"/>
    <s v="Chennai"/>
    <x v="1"/>
    <s v="Sofa"/>
    <n v="4"/>
    <n v="3090.48"/>
    <n v="243.19"/>
  </r>
  <r>
    <n v="10569"/>
    <x v="8"/>
    <n v="8"/>
    <x v="287"/>
    <s v="CUST119"/>
    <x v="2"/>
    <x v="3"/>
    <s v="Bengaluru"/>
    <x v="2"/>
    <s v="Keyboard"/>
    <n v="2"/>
    <n v="270.82"/>
    <n v="-54.45"/>
  </r>
  <r>
    <n v="10570"/>
    <x v="3"/>
    <n v="1"/>
    <x v="21"/>
    <s v="CUST627"/>
    <x v="0"/>
    <x v="3"/>
    <s v="Bengaluru"/>
    <x v="1"/>
    <s v="Sofa"/>
    <n v="5"/>
    <n v="842.88"/>
    <n v="72.510000000000005"/>
  </r>
  <r>
    <n v="10571"/>
    <x v="9"/>
    <n v="9"/>
    <x v="255"/>
    <s v="CUST224"/>
    <x v="0"/>
    <x v="1"/>
    <s v="Pune"/>
    <x v="2"/>
    <s v="Monitor"/>
    <n v="2"/>
    <n v="2746.63"/>
    <n v="44.19"/>
  </r>
  <r>
    <n v="10572"/>
    <x v="5"/>
    <n v="7"/>
    <x v="129"/>
    <s v="CUST647"/>
    <x v="2"/>
    <x v="2"/>
    <s v="Bhubaneswar"/>
    <x v="0"/>
    <s v="Binder"/>
    <n v="7"/>
    <n v="370.45"/>
    <n v="46.15"/>
  </r>
  <r>
    <n v="10573"/>
    <x v="11"/>
    <n v="6"/>
    <x v="37"/>
    <s v="CUST812"/>
    <x v="2"/>
    <x v="0"/>
    <s v="Chandigarh"/>
    <x v="2"/>
    <s v="Mouse"/>
    <n v="3"/>
    <n v="2816.93"/>
    <n v="756.13"/>
  </r>
  <r>
    <n v="10574"/>
    <x v="0"/>
    <n v="10"/>
    <x v="144"/>
    <s v="CUST344"/>
    <x v="2"/>
    <x v="0"/>
    <s v="Chandigarh"/>
    <x v="2"/>
    <s v="Laptop"/>
    <n v="8"/>
    <n v="3703.09"/>
    <n v="295.39999999999998"/>
  </r>
  <r>
    <n v="10575"/>
    <x v="3"/>
    <n v="1"/>
    <x v="288"/>
    <s v="CUST137"/>
    <x v="2"/>
    <x v="1"/>
    <s v="Mumbai"/>
    <x v="0"/>
    <s v="Binder"/>
    <n v="8"/>
    <n v="2716.31"/>
    <n v="657.41"/>
  </r>
  <r>
    <n v="10576"/>
    <x v="8"/>
    <n v="8"/>
    <x v="120"/>
    <s v="CUST794"/>
    <x v="0"/>
    <x v="0"/>
    <s v="Chandigarh"/>
    <x v="0"/>
    <s v="Paper"/>
    <n v="7"/>
    <n v="679.12"/>
    <n v="104.25"/>
  </r>
  <r>
    <n v="10577"/>
    <x v="1"/>
    <n v="11"/>
    <x v="106"/>
    <s v="CUST146"/>
    <x v="1"/>
    <x v="3"/>
    <s v="Bengaluru"/>
    <x v="1"/>
    <s v="Chair"/>
    <n v="3"/>
    <n v="2495.58"/>
    <n v="45.95"/>
  </r>
  <r>
    <n v="10578"/>
    <x v="0"/>
    <n v="10"/>
    <x v="207"/>
    <s v="CUST165"/>
    <x v="1"/>
    <x v="3"/>
    <s v="Bengaluru"/>
    <x v="1"/>
    <s v="Chair"/>
    <n v="5"/>
    <n v="4121.62"/>
    <n v="245.21"/>
  </r>
  <r>
    <n v="10579"/>
    <x v="10"/>
    <n v="12"/>
    <x v="187"/>
    <s v="CUST511"/>
    <x v="2"/>
    <x v="0"/>
    <s v="Chandigarh"/>
    <x v="0"/>
    <s v="Pen"/>
    <n v="2"/>
    <n v="4041.82"/>
    <n v="551.61"/>
  </r>
  <r>
    <n v="10580"/>
    <x v="6"/>
    <n v="3"/>
    <x v="179"/>
    <s v="CUST875"/>
    <x v="2"/>
    <x v="0"/>
    <s v="Delhi"/>
    <x v="2"/>
    <s v="Mouse"/>
    <n v="1"/>
    <n v="3006.12"/>
    <n v="390.37"/>
  </r>
  <r>
    <n v="10581"/>
    <x v="1"/>
    <n v="11"/>
    <x v="289"/>
    <s v="CUST727"/>
    <x v="2"/>
    <x v="3"/>
    <s v="Chennai"/>
    <x v="0"/>
    <s v="Pen"/>
    <n v="8"/>
    <n v="1293.8599999999999"/>
    <n v="239.61"/>
  </r>
  <r>
    <n v="10582"/>
    <x v="0"/>
    <n v="10"/>
    <x v="144"/>
    <s v="CUST390"/>
    <x v="2"/>
    <x v="3"/>
    <s v="Bengaluru"/>
    <x v="2"/>
    <s v="Laptop"/>
    <n v="1"/>
    <n v="135.4"/>
    <n v="-32.549999999999997"/>
  </r>
  <r>
    <n v="10583"/>
    <x v="1"/>
    <n v="11"/>
    <x v="91"/>
    <s v="CUST808"/>
    <x v="1"/>
    <x v="1"/>
    <s v="Mumbai"/>
    <x v="1"/>
    <s v="Table"/>
    <n v="5"/>
    <n v="2663.13"/>
    <n v="313.67"/>
  </r>
  <r>
    <n v="10584"/>
    <x v="6"/>
    <n v="3"/>
    <x v="186"/>
    <s v="CUST642"/>
    <x v="1"/>
    <x v="3"/>
    <s v="Chennai"/>
    <x v="0"/>
    <s v="Paper"/>
    <n v="5"/>
    <n v="1804.48"/>
    <n v="68.72"/>
  </r>
  <r>
    <n v="10585"/>
    <x v="8"/>
    <n v="8"/>
    <x v="79"/>
    <s v="CUST609"/>
    <x v="1"/>
    <x v="2"/>
    <s v="Kolkata"/>
    <x v="2"/>
    <s v="Mouse"/>
    <n v="5"/>
    <n v="360.04"/>
    <n v="13.22"/>
  </r>
  <r>
    <n v="10586"/>
    <x v="8"/>
    <n v="8"/>
    <x v="96"/>
    <s v="CUST144"/>
    <x v="1"/>
    <x v="3"/>
    <s v="Bengaluru"/>
    <x v="1"/>
    <s v="Bookcase"/>
    <n v="5"/>
    <n v="1126.99"/>
    <n v="65.489999999999995"/>
  </r>
  <r>
    <n v="10587"/>
    <x v="8"/>
    <n v="8"/>
    <x v="127"/>
    <s v="CUST706"/>
    <x v="0"/>
    <x v="0"/>
    <s v="Delhi"/>
    <x v="1"/>
    <s v="Chair"/>
    <n v="8"/>
    <n v="2623.03"/>
    <n v="154.09"/>
  </r>
  <r>
    <n v="10588"/>
    <x v="5"/>
    <n v="7"/>
    <x v="237"/>
    <s v="CUST990"/>
    <x v="1"/>
    <x v="2"/>
    <s v="Bhubaneswar"/>
    <x v="1"/>
    <s v="Bookcase"/>
    <n v="4"/>
    <n v="3916.98"/>
    <n v="505.41"/>
  </r>
  <r>
    <n v="10589"/>
    <x v="1"/>
    <n v="11"/>
    <x v="91"/>
    <s v="CUST565"/>
    <x v="1"/>
    <x v="1"/>
    <s v="Mumbai"/>
    <x v="1"/>
    <s v="Sofa"/>
    <n v="8"/>
    <n v="366.26"/>
    <n v="36.61"/>
  </r>
  <r>
    <n v="10590"/>
    <x v="6"/>
    <n v="3"/>
    <x v="284"/>
    <s v="CUST132"/>
    <x v="0"/>
    <x v="1"/>
    <s v="Pune"/>
    <x v="1"/>
    <s v="Sofa"/>
    <n v="4"/>
    <n v="3196.9"/>
    <n v="919.31"/>
  </r>
  <r>
    <n v="10591"/>
    <x v="11"/>
    <n v="6"/>
    <x v="290"/>
    <s v="CUST718"/>
    <x v="1"/>
    <x v="0"/>
    <s v="Chandigarh"/>
    <x v="1"/>
    <s v="Chair"/>
    <n v="8"/>
    <n v="2347.04"/>
    <n v="183.45"/>
  </r>
  <r>
    <n v="10592"/>
    <x v="8"/>
    <n v="8"/>
    <x v="75"/>
    <s v="CUST385"/>
    <x v="1"/>
    <x v="3"/>
    <s v="Bengaluru"/>
    <x v="1"/>
    <s v="Sofa"/>
    <n v="8"/>
    <n v="4324.78"/>
    <n v="402.91"/>
  </r>
  <r>
    <n v="10593"/>
    <x v="6"/>
    <n v="3"/>
    <x v="30"/>
    <s v="CUST687"/>
    <x v="1"/>
    <x v="1"/>
    <s v="Mumbai"/>
    <x v="1"/>
    <s v="Bookcase"/>
    <n v="7"/>
    <n v="2939.39"/>
    <n v="743.15"/>
  </r>
  <r>
    <n v="10594"/>
    <x v="10"/>
    <n v="12"/>
    <x v="53"/>
    <s v="CUST941"/>
    <x v="1"/>
    <x v="1"/>
    <s v="Mumbai"/>
    <x v="1"/>
    <s v="Sofa"/>
    <n v="1"/>
    <n v="2185.92"/>
    <n v="243.81"/>
  </r>
  <r>
    <n v="10595"/>
    <x v="5"/>
    <n v="7"/>
    <x v="291"/>
    <s v="CUST402"/>
    <x v="1"/>
    <x v="1"/>
    <s v="Pune"/>
    <x v="1"/>
    <s v="Chair"/>
    <n v="1"/>
    <n v="3496.48"/>
    <n v="508.46"/>
  </r>
  <r>
    <n v="10596"/>
    <x v="3"/>
    <n v="1"/>
    <x v="279"/>
    <s v="CUST565"/>
    <x v="2"/>
    <x v="0"/>
    <s v="Delhi"/>
    <x v="2"/>
    <s v="Keyboard"/>
    <n v="3"/>
    <n v="3546.19"/>
    <n v="863.17"/>
  </r>
  <r>
    <n v="10597"/>
    <x v="5"/>
    <n v="7"/>
    <x v="292"/>
    <s v="CUST807"/>
    <x v="2"/>
    <x v="3"/>
    <s v="Chennai"/>
    <x v="1"/>
    <s v="Bookcase"/>
    <n v="8"/>
    <n v="3549.12"/>
    <n v="115.94"/>
  </r>
  <r>
    <n v="10598"/>
    <x v="3"/>
    <n v="1"/>
    <x v="198"/>
    <s v="CUST627"/>
    <x v="0"/>
    <x v="0"/>
    <s v="Chandigarh"/>
    <x v="2"/>
    <s v="Keyboard"/>
    <n v="4"/>
    <n v="3959.69"/>
    <n v="190.04"/>
  </r>
  <r>
    <n v="10599"/>
    <x v="1"/>
    <n v="11"/>
    <x v="242"/>
    <s v="CUST672"/>
    <x v="0"/>
    <x v="2"/>
    <s v="Kolkata"/>
    <x v="1"/>
    <s v="Sofa"/>
    <n v="6"/>
    <n v="2380.23"/>
    <n v="106.69"/>
  </r>
  <r>
    <n v="10600"/>
    <x v="0"/>
    <n v="10"/>
    <x v="59"/>
    <s v="CUST992"/>
    <x v="0"/>
    <x v="0"/>
    <s v="Delhi"/>
    <x v="1"/>
    <s v="Bookcase"/>
    <n v="4"/>
    <n v="2744.21"/>
    <n v="508.75"/>
  </r>
  <r>
    <n v="10601"/>
    <x v="5"/>
    <n v="7"/>
    <x v="220"/>
    <s v="CUST453"/>
    <x v="2"/>
    <x v="3"/>
    <s v="Bengaluru"/>
    <x v="2"/>
    <s v="Keyboard"/>
    <n v="5"/>
    <n v="2567.4699999999998"/>
    <n v="394.39"/>
  </r>
  <r>
    <n v="10602"/>
    <x v="7"/>
    <n v="2"/>
    <x v="293"/>
    <s v="CUST292"/>
    <x v="2"/>
    <x v="1"/>
    <s v="Mumbai"/>
    <x v="2"/>
    <s v="Keyboard"/>
    <n v="8"/>
    <n v="3142.66"/>
    <n v="691.05"/>
  </r>
  <r>
    <n v="10603"/>
    <x v="7"/>
    <n v="2"/>
    <x v="156"/>
    <s v="CUST813"/>
    <x v="1"/>
    <x v="0"/>
    <s v="Delhi"/>
    <x v="2"/>
    <s v="Mouse"/>
    <n v="5"/>
    <n v="4795.46"/>
    <n v="315.55"/>
  </r>
  <r>
    <n v="10604"/>
    <x v="8"/>
    <n v="8"/>
    <x v="79"/>
    <s v="CUST455"/>
    <x v="2"/>
    <x v="1"/>
    <s v="Mumbai"/>
    <x v="1"/>
    <s v="Chair"/>
    <n v="5"/>
    <n v="2141.0300000000002"/>
    <n v="379.14"/>
  </r>
  <r>
    <n v="10605"/>
    <x v="9"/>
    <n v="9"/>
    <x v="203"/>
    <s v="CUST760"/>
    <x v="2"/>
    <x v="1"/>
    <s v="Mumbai"/>
    <x v="2"/>
    <s v="Mouse"/>
    <n v="2"/>
    <n v="207.98"/>
    <n v="-31.4"/>
  </r>
  <r>
    <n v="10606"/>
    <x v="8"/>
    <n v="8"/>
    <x v="127"/>
    <s v="CUST568"/>
    <x v="2"/>
    <x v="1"/>
    <s v="Pune"/>
    <x v="0"/>
    <s v="Binder"/>
    <n v="8"/>
    <n v="3007.45"/>
    <n v="590.13"/>
  </r>
  <r>
    <n v="10607"/>
    <x v="3"/>
    <n v="1"/>
    <x v="294"/>
    <s v="CUST251"/>
    <x v="2"/>
    <x v="3"/>
    <s v="Chennai"/>
    <x v="1"/>
    <s v="Bookcase"/>
    <n v="4"/>
    <n v="2472.79"/>
    <n v="646.76"/>
  </r>
  <r>
    <n v="10608"/>
    <x v="10"/>
    <n v="12"/>
    <x v="276"/>
    <s v="CUST913"/>
    <x v="1"/>
    <x v="2"/>
    <s v="Bhubaneswar"/>
    <x v="1"/>
    <s v="Table"/>
    <n v="5"/>
    <n v="993.17"/>
    <n v="22.39"/>
  </r>
  <r>
    <n v="10609"/>
    <x v="4"/>
    <n v="4"/>
    <x v="180"/>
    <s v="CUST675"/>
    <x v="0"/>
    <x v="3"/>
    <s v="Bengaluru"/>
    <x v="1"/>
    <s v="Chair"/>
    <n v="6"/>
    <n v="2915.17"/>
    <n v="430.11"/>
  </r>
  <r>
    <n v="10610"/>
    <x v="6"/>
    <n v="3"/>
    <x v="295"/>
    <s v="CUST125"/>
    <x v="2"/>
    <x v="0"/>
    <s v="Chandigarh"/>
    <x v="2"/>
    <s v="Mouse"/>
    <n v="6"/>
    <n v="2297.3000000000002"/>
    <n v="621.74"/>
  </r>
  <r>
    <n v="10611"/>
    <x v="11"/>
    <n v="6"/>
    <x v="124"/>
    <s v="CUST762"/>
    <x v="0"/>
    <x v="1"/>
    <s v="Mumbai"/>
    <x v="2"/>
    <s v="Keyboard"/>
    <n v="3"/>
    <n v="121.04"/>
    <n v="-69.16"/>
  </r>
  <r>
    <n v="10612"/>
    <x v="3"/>
    <n v="1"/>
    <x v="31"/>
    <s v="CUST242"/>
    <x v="0"/>
    <x v="2"/>
    <s v="Bhubaneswar"/>
    <x v="2"/>
    <s v="Mouse"/>
    <n v="8"/>
    <n v="1759.55"/>
    <n v="89.49"/>
  </r>
  <r>
    <n v="10613"/>
    <x v="1"/>
    <n v="11"/>
    <x v="137"/>
    <s v="CUST299"/>
    <x v="0"/>
    <x v="0"/>
    <s v="Chandigarh"/>
    <x v="1"/>
    <s v="Sofa"/>
    <n v="4"/>
    <n v="2285.27"/>
    <n v="161.6"/>
  </r>
  <r>
    <n v="10614"/>
    <x v="7"/>
    <n v="2"/>
    <x v="219"/>
    <s v="CUST624"/>
    <x v="2"/>
    <x v="3"/>
    <s v="Chennai"/>
    <x v="1"/>
    <s v="Chair"/>
    <n v="2"/>
    <n v="2738.22"/>
    <n v="374.7"/>
  </r>
  <r>
    <n v="10615"/>
    <x v="5"/>
    <n v="7"/>
    <x v="292"/>
    <s v="CUST481"/>
    <x v="1"/>
    <x v="3"/>
    <s v="Chennai"/>
    <x v="2"/>
    <s v="Laptop"/>
    <n v="6"/>
    <n v="2048.0300000000002"/>
    <n v="426.22"/>
  </r>
  <r>
    <n v="10616"/>
    <x v="8"/>
    <n v="8"/>
    <x v="127"/>
    <s v="CUST859"/>
    <x v="2"/>
    <x v="2"/>
    <s v="Bhubaneswar"/>
    <x v="2"/>
    <s v="Keyboard"/>
    <n v="8"/>
    <n v="4384.08"/>
    <n v="242.43"/>
  </r>
  <r>
    <n v="10617"/>
    <x v="4"/>
    <n v="4"/>
    <x v="168"/>
    <s v="CUST410"/>
    <x v="2"/>
    <x v="1"/>
    <s v="Pune"/>
    <x v="1"/>
    <s v="Sofa"/>
    <n v="7"/>
    <n v="783.88"/>
    <n v="145.66"/>
  </r>
  <r>
    <n v="10618"/>
    <x v="6"/>
    <n v="3"/>
    <x v="38"/>
    <s v="CUST669"/>
    <x v="2"/>
    <x v="2"/>
    <s v="Kolkata"/>
    <x v="0"/>
    <s v="Storage Box"/>
    <n v="2"/>
    <n v="132.43"/>
    <n v="0.44"/>
  </r>
  <r>
    <n v="10619"/>
    <x v="0"/>
    <n v="10"/>
    <x v="227"/>
    <s v="CUST411"/>
    <x v="2"/>
    <x v="3"/>
    <s v="Bengaluru"/>
    <x v="1"/>
    <s v="Sofa"/>
    <n v="5"/>
    <n v="2813.95"/>
    <n v="87.78"/>
  </r>
  <r>
    <n v="10620"/>
    <x v="8"/>
    <n v="8"/>
    <x v="206"/>
    <s v="CUST227"/>
    <x v="0"/>
    <x v="1"/>
    <s v="Mumbai"/>
    <x v="1"/>
    <s v="Chair"/>
    <n v="3"/>
    <n v="1387.12"/>
    <n v="317.45999999999998"/>
  </r>
  <r>
    <n v="10621"/>
    <x v="7"/>
    <n v="2"/>
    <x v="97"/>
    <s v="CUST713"/>
    <x v="0"/>
    <x v="2"/>
    <s v="Bhubaneswar"/>
    <x v="1"/>
    <s v="Sofa"/>
    <n v="4"/>
    <n v="239.37"/>
    <n v="8.43"/>
  </r>
  <r>
    <n v="10622"/>
    <x v="6"/>
    <n v="3"/>
    <x v="60"/>
    <s v="CUST482"/>
    <x v="0"/>
    <x v="2"/>
    <s v="Bhubaneswar"/>
    <x v="0"/>
    <s v="Storage Box"/>
    <n v="5"/>
    <n v="3177.18"/>
    <n v="467.55"/>
  </r>
  <r>
    <n v="10623"/>
    <x v="6"/>
    <n v="3"/>
    <x v="261"/>
    <s v="CUST154"/>
    <x v="2"/>
    <x v="0"/>
    <s v="Chandigarh"/>
    <x v="1"/>
    <s v="Chair"/>
    <n v="3"/>
    <n v="1666.44"/>
    <n v="435.69"/>
  </r>
  <r>
    <n v="10624"/>
    <x v="9"/>
    <n v="9"/>
    <x v="17"/>
    <s v="CUST298"/>
    <x v="0"/>
    <x v="2"/>
    <s v="Bhubaneswar"/>
    <x v="0"/>
    <s v="Binder"/>
    <n v="1"/>
    <n v="1520.3"/>
    <n v="183.68"/>
  </r>
  <r>
    <n v="10625"/>
    <x v="11"/>
    <n v="6"/>
    <x v="85"/>
    <s v="CUST377"/>
    <x v="0"/>
    <x v="3"/>
    <s v="Bengaluru"/>
    <x v="0"/>
    <s v="Pen"/>
    <n v="6"/>
    <n v="4374.97"/>
    <n v="1054.58"/>
  </r>
  <r>
    <n v="10626"/>
    <x v="9"/>
    <n v="9"/>
    <x v="114"/>
    <s v="CUST521"/>
    <x v="2"/>
    <x v="2"/>
    <s v="Kolkata"/>
    <x v="0"/>
    <s v="Binder"/>
    <n v="3"/>
    <n v="163.19999999999999"/>
    <n v="-8"/>
  </r>
  <r>
    <n v="10627"/>
    <x v="10"/>
    <n v="12"/>
    <x v="92"/>
    <s v="CUST951"/>
    <x v="0"/>
    <x v="3"/>
    <s v="Bengaluru"/>
    <x v="1"/>
    <s v="Table"/>
    <n v="4"/>
    <n v="4174.71"/>
    <n v="982.7"/>
  </r>
  <r>
    <n v="10628"/>
    <x v="11"/>
    <n v="6"/>
    <x v="15"/>
    <s v="CUST807"/>
    <x v="2"/>
    <x v="0"/>
    <s v="Chandigarh"/>
    <x v="2"/>
    <s v="Laptop"/>
    <n v="2"/>
    <n v="4112.34"/>
    <n v="1107.01"/>
  </r>
  <r>
    <n v="10629"/>
    <x v="4"/>
    <n v="4"/>
    <x v="118"/>
    <s v="CUST231"/>
    <x v="0"/>
    <x v="3"/>
    <s v="Chennai"/>
    <x v="0"/>
    <s v="Binder"/>
    <n v="3"/>
    <n v="3578.48"/>
    <n v="123.2"/>
  </r>
  <r>
    <n v="10630"/>
    <x v="7"/>
    <n v="2"/>
    <x v="156"/>
    <s v="CUST179"/>
    <x v="1"/>
    <x v="3"/>
    <s v="Bengaluru"/>
    <x v="2"/>
    <s v="Mouse"/>
    <n v="4"/>
    <n v="738.07"/>
    <n v="-17.670000000000002"/>
  </r>
  <r>
    <n v="10631"/>
    <x v="8"/>
    <n v="8"/>
    <x v="296"/>
    <s v="CUST221"/>
    <x v="2"/>
    <x v="1"/>
    <s v="Pune"/>
    <x v="1"/>
    <s v="Table"/>
    <n v="2"/>
    <n v="260.68"/>
    <n v="-3.29"/>
  </r>
  <r>
    <n v="10632"/>
    <x v="4"/>
    <n v="4"/>
    <x v="297"/>
    <s v="CUST289"/>
    <x v="0"/>
    <x v="0"/>
    <s v="Delhi"/>
    <x v="2"/>
    <s v="Laptop"/>
    <n v="2"/>
    <n v="3933.62"/>
    <n v="1080.97"/>
  </r>
  <r>
    <n v="10633"/>
    <x v="9"/>
    <n v="9"/>
    <x v="88"/>
    <s v="CUST899"/>
    <x v="0"/>
    <x v="2"/>
    <s v="Kolkata"/>
    <x v="1"/>
    <s v="Table"/>
    <n v="5"/>
    <n v="4749.08"/>
    <n v="634.37"/>
  </r>
  <r>
    <n v="10634"/>
    <x v="0"/>
    <n v="10"/>
    <x v="36"/>
    <s v="CUST104"/>
    <x v="0"/>
    <x v="3"/>
    <s v="Bengaluru"/>
    <x v="1"/>
    <s v="Chair"/>
    <n v="4"/>
    <n v="3607.48"/>
    <n v="1032.8399999999999"/>
  </r>
  <r>
    <n v="10635"/>
    <x v="7"/>
    <n v="2"/>
    <x v="178"/>
    <s v="CUST285"/>
    <x v="2"/>
    <x v="0"/>
    <s v="Delhi"/>
    <x v="0"/>
    <s v="Storage Box"/>
    <n v="6"/>
    <n v="3520.85"/>
    <n v="271.64"/>
  </r>
  <r>
    <n v="10636"/>
    <x v="7"/>
    <n v="2"/>
    <x v="262"/>
    <s v="CUST632"/>
    <x v="1"/>
    <x v="1"/>
    <s v="Pune"/>
    <x v="1"/>
    <s v="Table"/>
    <n v="7"/>
    <n v="652.94000000000005"/>
    <n v="181.01"/>
  </r>
  <r>
    <n v="10637"/>
    <x v="8"/>
    <n v="8"/>
    <x v="76"/>
    <s v="CUST714"/>
    <x v="0"/>
    <x v="1"/>
    <s v="Pune"/>
    <x v="0"/>
    <s v="Binder"/>
    <n v="1"/>
    <n v="503.01"/>
    <n v="48.76"/>
  </r>
  <r>
    <n v="10638"/>
    <x v="9"/>
    <n v="9"/>
    <x v="40"/>
    <s v="CUST795"/>
    <x v="2"/>
    <x v="2"/>
    <s v="Bhubaneswar"/>
    <x v="1"/>
    <s v="Sofa"/>
    <n v="5"/>
    <n v="4926.32"/>
    <n v="687.71"/>
  </r>
  <r>
    <n v="10639"/>
    <x v="6"/>
    <n v="3"/>
    <x v="60"/>
    <s v="CUST246"/>
    <x v="2"/>
    <x v="3"/>
    <s v="Bengaluru"/>
    <x v="0"/>
    <s v="Storage Box"/>
    <n v="2"/>
    <n v="2042.21"/>
    <n v="301.31"/>
  </r>
  <r>
    <n v="10640"/>
    <x v="5"/>
    <n v="7"/>
    <x v="72"/>
    <s v="CUST225"/>
    <x v="1"/>
    <x v="1"/>
    <s v="Mumbai"/>
    <x v="0"/>
    <s v="Pen"/>
    <n v="2"/>
    <n v="1882.18"/>
    <n v="167.76"/>
  </r>
  <r>
    <n v="10641"/>
    <x v="9"/>
    <n v="9"/>
    <x v="114"/>
    <s v="CUST623"/>
    <x v="2"/>
    <x v="1"/>
    <s v="Pune"/>
    <x v="2"/>
    <s v="Keyboard"/>
    <n v="7"/>
    <n v="1844.88"/>
    <n v="304.70999999999998"/>
  </r>
  <r>
    <n v="10642"/>
    <x v="3"/>
    <n v="1"/>
    <x v="271"/>
    <s v="CUST201"/>
    <x v="0"/>
    <x v="3"/>
    <s v="Chennai"/>
    <x v="1"/>
    <s v="Chair"/>
    <n v="5"/>
    <n v="2497.77"/>
    <n v="174.78"/>
  </r>
  <r>
    <n v="10643"/>
    <x v="1"/>
    <n v="11"/>
    <x v="270"/>
    <s v="CUST738"/>
    <x v="1"/>
    <x v="0"/>
    <s v="Delhi"/>
    <x v="2"/>
    <s v="Laptop"/>
    <n v="3"/>
    <n v="1974.9"/>
    <n v="418.81"/>
  </r>
  <r>
    <n v="10644"/>
    <x v="11"/>
    <n v="6"/>
    <x v="110"/>
    <s v="CUST928"/>
    <x v="0"/>
    <x v="0"/>
    <s v="Chandigarh"/>
    <x v="2"/>
    <s v="Mouse"/>
    <n v="5"/>
    <n v="3344.26"/>
    <n v="550.92999999999995"/>
  </r>
  <r>
    <n v="10645"/>
    <x v="3"/>
    <n v="1"/>
    <x v="152"/>
    <s v="CUST133"/>
    <x v="1"/>
    <x v="0"/>
    <s v="Delhi"/>
    <x v="2"/>
    <s v="Laptop"/>
    <n v="7"/>
    <n v="2305.5700000000002"/>
    <n v="562.61"/>
  </r>
  <r>
    <n v="10646"/>
    <x v="0"/>
    <n v="10"/>
    <x v="195"/>
    <s v="CUST791"/>
    <x v="2"/>
    <x v="2"/>
    <s v="Kolkata"/>
    <x v="2"/>
    <s v="Monitor"/>
    <n v="3"/>
    <n v="1631.05"/>
    <n v="163.80000000000001"/>
  </r>
  <r>
    <n v="10647"/>
    <x v="1"/>
    <n v="11"/>
    <x v="139"/>
    <s v="CUST792"/>
    <x v="2"/>
    <x v="1"/>
    <s v="Pune"/>
    <x v="0"/>
    <s v="Pen"/>
    <n v="1"/>
    <n v="2017.79"/>
    <n v="253.35"/>
  </r>
  <r>
    <n v="10648"/>
    <x v="0"/>
    <n v="10"/>
    <x v="298"/>
    <s v="CUST127"/>
    <x v="0"/>
    <x v="2"/>
    <s v="Bhubaneswar"/>
    <x v="1"/>
    <s v="Chair"/>
    <n v="1"/>
    <n v="728.17"/>
    <n v="22.16"/>
  </r>
  <r>
    <n v="10649"/>
    <x v="2"/>
    <n v="5"/>
    <x v="26"/>
    <s v="CUST353"/>
    <x v="1"/>
    <x v="2"/>
    <s v="Bhubaneswar"/>
    <x v="1"/>
    <s v="Sofa"/>
    <n v="6"/>
    <n v="4960.53"/>
    <n v="753.23"/>
  </r>
  <r>
    <n v="10650"/>
    <x v="3"/>
    <n v="1"/>
    <x v="33"/>
    <s v="CUST571"/>
    <x v="0"/>
    <x v="2"/>
    <s v="Kolkata"/>
    <x v="0"/>
    <s v="Paper"/>
    <n v="5"/>
    <n v="660.91"/>
    <n v="7.26"/>
  </r>
  <r>
    <n v="10651"/>
    <x v="5"/>
    <n v="7"/>
    <x v="299"/>
    <s v="CUST430"/>
    <x v="0"/>
    <x v="1"/>
    <s v="Pune"/>
    <x v="2"/>
    <s v="Laptop"/>
    <n v="8"/>
    <n v="2981.15"/>
    <n v="845.96"/>
  </r>
  <r>
    <n v="10652"/>
    <x v="6"/>
    <n v="3"/>
    <x v="274"/>
    <s v="CUST729"/>
    <x v="2"/>
    <x v="0"/>
    <s v="Chandigarh"/>
    <x v="1"/>
    <s v="Table"/>
    <n v="6"/>
    <n v="2533.98"/>
    <n v="574.01"/>
  </r>
  <r>
    <n v="10653"/>
    <x v="3"/>
    <n v="1"/>
    <x v="294"/>
    <s v="CUST404"/>
    <x v="0"/>
    <x v="2"/>
    <s v="Bhubaneswar"/>
    <x v="1"/>
    <s v="Sofa"/>
    <n v="2"/>
    <n v="4217.8599999999997"/>
    <n v="747.18"/>
  </r>
  <r>
    <n v="10654"/>
    <x v="9"/>
    <n v="9"/>
    <x v="12"/>
    <s v="CUST586"/>
    <x v="2"/>
    <x v="1"/>
    <s v="Mumbai"/>
    <x v="0"/>
    <s v="Paper"/>
    <n v="2"/>
    <n v="3000.14"/>
    <n v="298.39999999999998"/>
  </r>
  <r>
    <n v="10655"/>
    <x v="5"/>
    <n v="7"/>
    <x v="201"/>
    <s v="CUST357"/>
    <x v="0"/>
    <x v="3"/>
    <s v="Chennai"/>
    <x v="1"/>
    <s v="Bookcase"/>
    <n v="5"/>
    <n v="2221.2600000000002"/>
    <n v="390.9"/>
  </r>
  <r>
    <n v="10656"/>
    <x v="8"/>
    <n v="8"/>
    <x v="10"/>
    <s v="CUST374"/>
    <x v="0"/>
    <x v="1"/>
    <s v="Mumbai"/>
    <x v="1"/>
    <s v="Table"/>
    <n v="8"/>
    <n v="1143.47"/>
    <n v="257.99"/>
  </r>
  <r>
    <n v="10657"/>
    <x v="11"/>
    <n v="6"/>
    <x v="37"/>
    <s v="CUST964"/>
    <x v="2"/>
    <x v="1"/>
    <s v="Mumbai"/>
    <x v="0"/>
    <s v="Pen"/>
    <n v="6"/>
    <n v="2366.1799999999998"/>
    <n v="185.86"/>
  </r>
  <r>
    <n v="10658"/>
    <x v="10"/>
    <n v="12"/>
    <x v="28"/>
    <s v="CUST715"/>
    <x v="1"/>
    <x v="1"/>
    <s v="Pune"/>
    <x v="1"/>
    <s v="Table"/>
    <n v="7"/>
    <n v="1407.98"/>
    <n v="155.38"/>
  </r>
  <r>
    <n v="10659"/>
    <x v="9"/>
    <n v="9"/>
    <x v="114"/>
    <s v="CUST673"/>
    <x v="2"/>
    <x v="1"/>
    <s v="Mumbai"/>
    <x v="1"/>
    <s v="Table"/>
    <n v="4"/>
    <n v="235.75"/>
    <n v="27.71"/>
  </r>
  <r>
    <n v="10660"/>
    <x v="10"/>
    <n v="12"/>
    <x v="14"/>
    <s v="CUST663"/>
    <x v="1"/>
    <x v="1"/>
    <s v="Mumbai"/>
    <x v="1"/>
    <s v="Table"/>
    <n v="5"/>
    <n v="768.51"/>
    <n v="7.72"/>
  </r>
  <r>
    <n v="10661"/>
    <x v="5"/>
    <n v="7"/>
    <x v="45"/>
    <s v="CUST472"/>
    <x v="0"/>
    <x v="0"/>
    <s v="Chandigarh"/>
    <x v="1"/>
    <s v="Chair"/>
    <n v="2"/>
    <n v="1638.13"/>
    <n v="197.58"/>
  </r>
  <r>
    <n v="10662"/>
    <x v="9"/>
    <n v="9"/>
    <x v="24"/>
    <s v="CUST780"/>
    <x v="0"/>
    <x v="0"/>
    <s v="Chandigarh"/>
    <x v="0"/>
    <s v="Pen"/>
    <n v="4"/>
    <n v="648.47"/>
    <n v="58.2"/>
  </r>
  <r>
    <n v="10663"/>
    <x v="5"/>
    <n v="7"/>
    <x v="299"/>
    <s v="CUST925"/>
    <x v="0"/>
    <x v="2"/>
    <s v="Bhubaneswar"/>
    <x v="1"/>
    <s v="Table"/>
    <n v="2"/>
    <n v="3888.64"/>
    <n v="415.88"/>
  </r>
  <r>
    <n v="10664"/>
    <x v="2"/>
    <n v="5"/>
    <x v="199"/>
    <s v="CUST983"/>
    <x v="0"/>
    <x v="3"/>
    <s v="Chennai"/>
    <x v="1"/>
    <s v="Table"/>
    <n v="2"/>
    <n v="958.26"/>
    <n v="236.33"/>
  </r>
  <r>
    <n v="10665"/>
    <x v="2"/>
    <n v="5"/>
    <x v="2"/>
    <s v="CUST903"/>
    <x v="1"/>
    <x v="0"/>
    <s v="Chandigarh"/>
    <x v="0"/>
    <s v="Binder"/>
    <n v="2"/>
    <n v="1650.8"/>
    <n v="189.16"/>
  </r>
  <r>
    <n v="10666"/>
    <x v="10"/>
    <n v="12"/>
    <x v="300"/>
    <s v="CUST918"/>
    <x v="1"/>
    <x v="2"/>
    <s v="Bhubaneswar"/>
    <x v="0"/>
    <s v="Binder"/>
    <n v="5"/>
    <n v="203.26"/>
    <n v="-1.29"/>
  </r>
  <r>
    <n v="10667"/>
    <x v="10"/>
    <n v="12"/>
    <x v="113"/>
    <s v="CUST224"/>
    <x v="0"/>
    <x v="3"/>
    <s v="Chennai"/>
    <x v="0"/>
    <s v="Storage Box"/>
    <n v="5"/>
    <n v="3230.85"/>
    <n v="637.12"/>
  </r>
  <r>
    <n v="10668"/>
    <x v="2"/>
    <n v="5"/>
    <x v="233"/>
    <s v="CUST404"/>
    <x v="1"/>
    <x v="3"/>
    <s v="Chennai"/>
    <x v="2"/>
    <s v="Laptop"/>
    <n v="7"/>
    <n v="4644.79"/>
    <n v="1268.04"/>
  </r>
  <r>
    <n v="10669"/>
    <x v="9"/>
    <n v="9"/>
    <x v="236"/>
    <s v="CUST582"/>
    <x v="0"/>
    <x v="3"/>
    <s v="Chennai"/>
    <x v="0"/>
    <s v="Binder"/>
    <n v="7"/>
    <n v="3967.66"/>
    <n v="462.19"/>
  </r>
  <r>
    <n v="10670"/>
    <x v="11"/>
    <n v="6"/>
    <x v="268"/>
    <s v="CUST530"/>
    <x v="0"/>
    <x v="1"/>
    <s v="Pune"/>
    <x v="0"/>
    <s v="Storage Box"/>
    <n v="2"/>
    <n v="4139.5600000000004"/>
    <n v="879.2"/>
  </r>
  <r>
    <n v="10671"/>
    <x v="1"/>
    <n v="11"/>
    <x v="137"/>
    <s v="CUST239"/>
    <x v="1"/>
    <x v="2"/>
    <s v="Bhubaneswar"/>
    <x v="0"/>
    <s v="Paper"/>
    <n v="1"/>
    <n v="3242.73"/>
    <n v="266.75"/>
  </r>
  <r>
    <n v="10672"/>
    <x v="1"/>
    <n v="11"/>
    <x v="1"/>
    <s v="CUST881"/>
    <x v="1"/>
    <x v="1"/>
    <s v="Mumbai"/>
    <x v="0"/>
    <s v="Binder"/>
    <n v="6"/>
    <n v="2921.47"/>
    <n v="202.06"/>
  </r>
  <r>
    <n v="10673"/>
    <x v="2"/>
    <n v="5"/>
    <x v="111"/>
    <s v="CUST303"/>
    <x v="1"/>
    <x v="1"/>
    <s v="Pune"/>
    <x v="2"/>
    <s v="Monitor"/>
    <n v="3"/>
    <n v="1377.33"/>
    <n v="222.91"/>
  </r>
  <r>
    <n v="10674"/>
    <x v="3"/>
    <n v="1"/>
    <x v="249"/>
    <s v="CUST671"/>
    <x v="0"/>
    <x v="1"/>
    <s v="Pune"/>
    <x v="1"/>
    <s v="Sofa"/>
    <n v="7"/>
    <n v="4729.3100000000004"/>
    <n v="1259.5999999999999"/>
  </r>
  <r>
    <n v="10675"/>
    <x v="8"/>
    <n v="8"/>
    <x v="49"/>
    <s v="CUST714"/>
    <x v="2"/>
    <x v="3"/>
    <s v="Bengaluru"/>
    <x v="2"/>
    <s v="Mouse"/>
    <n v="5"/>
    <n v="3536.18"/>
    <n v="285.89"/>
  </r>
  <r>
    <n v="10676"/>
    <x v="8"/>
    <n v="8"/>
    <x v="96"/>
    <s v="CUST947"/>
    <x v="0"/>
    <x v="3"/>
    <s v="Bengaluru"/>
    <x v="2"/>
    <s v="Mouse"/>
    <n v="2"/>
    <n v="169.16"/>
    <n v="-46.64"/>
  </r>
  <r>
    <n v="10677"/>
    <x v="9"/>
    <n v="9"/>
    <x v="141"/>
    <s v="CUST491"/>
    <x v="1"/>
    <x v="1"/>
    <s v="Mumbai"/>
    <x v="1"/>
    <s v="Table"/>
    <n v="4"/>
    <n v="4735.66"/>
    <n v="1173.17"/>
  </r>
  <r>
    <n v="10678"/>
    <x v="6"/>
    <n v="3"/>
    <x v="246"/>
    <s v="CUST129"/>
    <x v="2"/>
    <x v="1"/>
    <s v="Mumbai"/>
    <x v="0"/>
    <s v="Pen"/>
    <n v="5"/>
    <n v="3660.87"/>
    <n v="338.31"/>
  </r>
  <r>
    <n v="10679"/>
    <x v="3"/>
    <n v="1"/>
    <x v="301"/>
    <s v="CUST580"/>
    <x v="1"/>
    <x v="2"/>
    <s v="Kolkata"/>
    <x v="0"/>
    <s v="Storage Box"/>
    <n v="4"/>
    <n v="1911.22"/>
    <n v="376.69"/>
  </r>
  <r>
    <n v="10680"/>
    <x v="7"/>
    <n v="2"/>
    <x v="18"/>
    <s v="CUST670"/>
    <x v="1"/>
    <x v="2"/>
    <s v="Bhubaneswar"/>
    <x v="0"/>
    <s v="Pen"/>
    <n v="7"/>
    <n v="3571.42"/>
    <n v="810.18"/>
  </r>
  <r>
    <n v="10681"/>
    <x v="1"/>
    <n v="11"/>
    <x v="176"/>
    <s v="CUST826"/>
    <x v="0"/>
    <x v="0"/>
    <s v="Chandigarh"/>
    <x v="1"/>
    <s v="Sofa"/>
    <n v="6"/>
    <n v="4984.0200000000004"/>
    <n v="1322.88"/>
  </r>
  <r>
    <n v="10682"/>
    <x v="0"/>
    <n v="10"/>
    <x v="302"/>
    <s v="CUST142"/>
    <x v="0"/>
    <x v="0"/>
    <s v="Delhi"/>
    <x v="2"/>
    <s v="Monitor"/>
    <n v="5"/>
    <n v="4889.87"/>
    <n v="1051.8699999999999"/>
  </r>
  <r>
    <n v="10683"/>
    <x v="9"/>
    <n v="9"/>
    <x v="12"/>
    <s v="CUST543"/>
    <x v="1"/>
    <x v="3"/>
    <s v="Chennai"/>
    <x v="1"/>
    <s v="Sofa"/>
    <n v="6"/>
    <n v="4401.6899999999996"/>
    <n v="333.52"/>
  </r>
  <r>
    <n v="10684"/>
    <x v="5"/>
    <n v="7"/>
    <x v="153"/>
    <s v="CUST540"/>
    <x v="2"/>
    <x v="2"/>
    <s v="Kolkata"/>
    <x v="2"/>
    <s v="Laptop"/>
    <n v="3"/>
    <n v="2546.13"/>
    <n v="718.79"/>
  </r>
  <r>
    <n v="10685"/>
    <x v="6"/>
    <n v="3"/>
    <x v="193"/>
    <s v="CUST669"/>
    <x v="0"/>
    <x v="2"/>
    <s v="Bhubaneswar"/>
    <x v="0"/>
    <s v="Binder"/>
    <n v="7"/>
    <n v="4474.09"/>
    <n v="477.19"/>
  </r>
  <r>
    <n v="10686"/>
    <x v="10"/>
    <n v="12"/>
    <x v="277"/>
    <s v="CUST578"/>
    <x v="2"/>
    <x v="1"/>
    <s v="Mumbai"/>
    <x v="1"/>
    <s v="Table"/>
    <n v="1"/>
    <n v="1226.32"/>
    <n v="46.29"/>
  </r>
  <r>
    <n v="10687"/>
    <x v="7"/>
    <n v="2"/>
    <x v="156"/>
    <s v="CUST966"/>
    <x v="0"/>
    <x v="0"/>
    <s v="Chandigarh"/>
    <x v="1"/>
    <s v="Sofa"/>
    <n v="6"/>
    <n v="4945.21"/>
    <n v="894.87"/>
  </r>
  <r>
    <n v="10688"/>
    <x v="9"/>
    <n v="9"/>
    <x v="303"/>
    <s v="CUST942"/>
    <x v="2"/>
    <x v="3"/>
    <s v="Bengaluru"/>
    <x v="2"/>
    <s v="Laptop"/>
    <n v="4"/>
    <n v="4354.05"/>
    <n v="397.52"/>
  </r>
  <r>
    <n v="10689"/>
    <x v="7"/>
    <n v="2"/>
    <x v="18"/>
    <s v="CUST436"/>
    <x v="1"/>
    <x v="3"/>
    <s v="Bengaluru"/>
    <x v="0"/>
    <s v="Pen"/>
    <n v="7"/>
    <n v="4610.0200000000004"/>
    <n v="464.39"/>
  </r>
  <r>
    <n v="10690"/>
    <x v="10"/>
    <n v="12"/>
    <x v="164"/>
    <s v="CUST775"/>
    <x v="2"/>
    <x v="2"/>
    <s v="Kolkata"/>
    <x v="2"/>
    <s v="Keyboard"/>
    <n v="2"/>
    <n v="4201.1899999999996"/>
    <n v="363.46"/>
  </r>
  <r>
    <n v="10691"/>
    <x v="11"/>
    <n v="6"/>
    <x v="304"/>
    <s v="CUST849"/>
    <x v="0"/>
    <x v="1"/>
    <s v="Pune"/>
    <x v="0"/>
    <s v="Paper"/>
    <n v="6"/>
    <n v="4851.88"/>
    <n v="943.42"/>
  </r>
  <r>
    <n v="10692"/>
    <x v="1"/>
    <n v="11"/>
    <x v="305"/>
    <s v="CUST490"/>
    <x v="1"/>
    <x v="3"/>
    <s v="Bengaluru"/>
    <x v="1"/>
    <s v="Bookcase"/>
    <n v="6"/>
    <n v="4010.92"/>
    <n v="891.66"/>
  </r>
  <r>
    <n v="10693"/>
    <x v="5"/>
    <n v="7"/>
    <x v="72"/>
    <s v="CUST391"/>
    <x v="0"/>
    <x v="1"/>
    <s v="Pune"/>
    <x v="1"/>
    <s v="Table"/>
    <n v="7"/>
    <n v="537.02"/>
    <n v="124.99"/>
  </r>
  <r>
    <n v="10694"/>
    <x v="1"/>
    <n v="11"/>
    <x v="305"/>
    <s v="CUST234"/>
    <x v="2"/>
    <x v="3"/>
    <s v="Bengaluru"/>
    <x v="2"/>
    <s v="Monitor"/>
    <n v="7"/>
    <n v="3705.86"/>
    <n v="948.84"/>
  </r>
  <r>
    <n v="10695"/>
    <x v="1"/>
    <n v="11"/>
    <x v="224"/>
    <s v="CUST533"/>
    <x v="1"/>
    <x v="0"/>
    <s v="Chandigarh"/>
    <x v="0"/>
    <s v="Pen"/>
    <n v="8"/>
    <n v="2282.67"/>
    <n v="308.76"/>
  </r>
  <r>
    <n v="10696"/>
    <x v="8"/>
    <n v="8"/>
    <x v="306"/>
    <s v="CUST792"/>
    <x v="1"/>
    <x v="1"/>
    <s v="Pune"/>
    <x v="0"/>
    <s v="Pen"/>
    <n v="7"/>
    <n v="3190.36"/>
    <n v="182.32"/>
  </r>
  <r>
    <n v="10697"/>
    <x v="11"/>
    <n v="6"/>
    <x v="37"/>
    <s v="CUST252"/>
    <x v="1"/>
    <x v="3"/>
    <s v="Chennai"/>
    <x v="0"/>
    <s v="Paper"/>
    <n v="5"/>
    <n v="2394.27"/>
    <n v="86.96"/>
  </r>
  <r>
    <n v="10698"/>
    <x v="9"/>
    <n v="9"/>
    <x v="205"/>
    <s v="CUST210"/>
    <x v="0"/>
    <x v="2"/>
    <s v="Kolkata"/>
    <x v="0"/>
    <s v="Storage Box"/>
    <n v="5"/>
    <n v="2885.82"/>
    <n v="450.08"/>
  </r>
  <r>
    <n v="10699"/>
    <x v="3"/>
    <n v="1"/>
    <x v="288"/>
    <s v="CUST216"/>
    <x v="0"/>
    <x v="1"/>
    <s v="Pune"/>
    <x v="1"/>
    <s v="Sofa"/>
    <n v="5"/>
    <n v="1841.74"/>
    <n v="284.83999999999997"/>
  </r>
  <r>
    <n v="10700"/>
    <x v="0"/>
    <n v="10"/>
    <x v="307"/>
    <s v="CUST841"/>
    <x v="2"/>
    <x v="1"/>
    <s v="Mumbai"/>
    <x v="1"/>
    <s v="Sofa"/>
    <n v="1"/>
    <n v="508.12"/>
    <n v="107.02"/>
  </r>
  <r>
    <n v="10701"/>
    <x v="10"/>
    <n v="12"/>
    <x v="90"/>
    <s v="CUST208"/>
    <x v="2"/>
    <x v="1"/>
    <s v="Pune"/>
    <x v="2"/>
    <s v="Mouse"/>
    <n v="4"/>
    <n v="1006.93"/>
    <n v="177.99"/>
  </r>
  <r>
    <n v="10702"/>
    <x v="10"/>
    <n v="12"/>
    <x v="308"/>
    <s v="CUST862"/>
    <x v="0"/>
    <x v="0"/>
    <s v="Delhi"/>
    <x v="2"/>
    <s v="Laptop"/>
    <n v="1"/>
    <n v="941.5"/>
    <n v="90.2"/>
  </r>
  <r>
    <n v="10703"/>
    <x v="4"/>
    <n v="4"/>
    <x v="161"/>
    <s v="CUST214"/>
    <x v="1"/>
    <x v="1"/>
    <s v="Pune"/>
    <x v="0"/>
    <s v="Binder"/>
    <n v="7"/>
    <n v="4042.74"/>
    <n v="277.2"/>
  </r>
  <r>
    <n v="10704"/>
    <x v="0"/>
    <n v="10"/>
    <x v="36"/>
    <s v="CUST295"/>
    <x v="1"/>
    <x v="3"/>
    <s v="Bengaluru"/>
    <x v="1"/>
    <s v="Sofa"/>
    <n v="3"/>
    <n v="3283.73"/>
    <n v="459.33"/>
  </r>
  <r>
    <n v="10705"/>
    <x v="10"/>
    <n v="12"/>
    <x v="166"/>
    <s v="CUST555"/>
    <x v="2"/>
    <x v="2"/>
    <s v="Bhubaneswar"/>
    <x v="1"/>
    <s v="Sofa"/>
    <n v="7"/>
    <n v="206.9"/>
    <n v="3.69"/>
  </r>
  <r>
    <n v="10706"/>
    <x v="11"/>
    <n v="6"/>
    <x v="122"/>
    <s v="CUST108"/>
    <x v="1"/>
    <x v="1"/>
    <s v="Mumbai"/>
    <x v="2"/>
    <s v="Mouse"/>
    <n v="4"/>
    <n v="1544.67"/>
    <n v="358.37"/>
  </r>
  <r>
    <n v="10707"/>
    <x v="1"/>
    <n v="11"/>
    <x v="208"/>
    <s v="CUST794"/>
    <x v="2"/>
    <x v="1"/>
    <s v="Pune"/>
    <x v="2"/>
    <s v="Keyboard"/>
    <n v="1"/>
    <n v="2488.73"/>
    <n v="367.78"/>
  </r>
  <r>
    <n v="10708"/>
    <x v="1"/>
    <n v="11"/>
    <x v="242"/>
    <s v="CUST527"/>
    <x v="2"/>
    <x v="3"/>
    <s v="Bengaluru"/>
    <x v="0"/>
    <s v="Paper"/>
    <n v="7"/>
    <n v="2924.38"/>
    <n v="523.91999999999996"/>
  </r>
  <r>
    <n v="10709"/>
    <x v="4"/>
    <n v="4"/>
    <x v="165"/>
    <s v="CUST580"/>
    <x v="2"/>
    <x v="0"/>
    <s v="Chandigarh"/>
    <x v="0"/>
    <s v="Binder"/>
    <n v="8"/>
    <n v="3517.82"/>
    <n v="165.39"/>
  </r>
  <r>
    <n v="10710"/>
    <x v="8"/>
    <n v="8"/>
    <x v="10"/>
    <s v="CUST234"/>
    <x v="2"/>
    <x v="1"/>
    <s v="Mumbai"/>
    <x v="0"/>
    <s v="Pen"/>
    <n v="6"/>
    <n v="4616.5"/>
    <n v="1144.3"/>
  </r>
  <r>
    <n v="10711"/>
    <x v="2"/>
    <n v="5"/>
    <x v="111"/>
    <s v="CUST807"/>
    <x v="0"/>
    <x v="1"/>
    <s v="Pune"/>
    <x v="0"/>
    <s v="Binder"/>
    <n v="8"/>
    <n v="4018.8"/>
    <n v="987.26"/>
  </r>
  <r>
    <n v="10712"/>
    <x v="9"/>
    <n v="9"/>
    <x v="68"/>
    <s v="CUST410"/>
    <x v="1"/>
    <x v="0"/>
    <s v="Chandigarh"/>
    <x v="1"/>
    <s v="Table"/>
    <n v="4"/>
    <n v="865.94"/>
    <n v="70.5"/>
  </r>
  <r>
    <n v="10713"/>
    <x v="9"/>
    <n v="9"/>
    <x v="136"/>
    <s v="CUST132"/>
    <x v="1"/>
    <x v="3"/>
    <s v="Bengaluru"/>
    <x v="1"/>
    <s v="Bookcase"/>
    <n v="5"/>
    <n v="1849.51"/>
    <n v="83.02"/>
  </r>
  <r>
    <n v="10714"/>
    <x v="5"/>
    <n v="7"/>
    <x v="5"/>
    <s v="CUST887"/>
    <x v="1"/>
    <x v="2"/>
    <s v="Bhubaneswar"/>
    <x v="1"/>
    <s v="Table"/>
    <n v="2"/>
    <n v="2853.71"/>
    <n v="390.31"/>
  </r>
  <r>
    <n v="10715"/>
    <x v="7"/>
    <n v="2"/>
    <x v="262"/>
    <s v="CUST208"/>
    <x v="0"/>
    <x v="2"/>
    <s v="Kolkata"/>
    <x v="0"/>
    <s v="Paper"/>
    <n v="1"/>
    <n v="4640.5"/>
    <n v="694.25"/>
  </r>
  <r>
    <n v="10716"/>
    <x v="6"/>
    <n v="3"/>
    <x v="132"/>
    <s v="CUST845"/>
    <x v="2"/>
    <x v="0"/>
    <s v="Delhi"/>
    <x v="0"/>
    <s v="Paper"/>
    <n v="3"/>
    <n v="3186.64"/>
    <n v="762.02"/>
  </r>
  <r>
    <n v="10717"/>
    <x v="4"/>
    <n v="4"/>
    <x v="275"/>
    <s v="CUST549"/>
    <x v="2"/>
    <x v="1"/>
    <s v="Pune"/>
    <x v="0"/>
    <s v="Paper"/>
    <n v="3"/>
    <n v="3270.76"/>
    <n v="423.37"/>
  </r>
  <r>
    <n v="10718"/>
    <x v="8"/>
    <n v="8"/>
    <x v="309"/>
    <s v="CUST469"/>
    <x v="0"/>
    <x v="0"/>
    <s v="Delhi"/>
    <x v="2"/>
    <s v="Keyboard"/>
    <n v="5"/>
    <n v="2574.61"/>
    <n v="146.35"/>
  </r>
  <r>
    <n v="10719"/>
    <x v="8"/>
    <n v="8"/>
    <x v="120"/>
    <s v="CUST972"/>
    <x v="0"/>
    <x v="3"/>
    <s v="Bengaluru"/>
    <x v="0"/>
    <s v="Storage Box"/>
    <n v="4"/>
    <n v="776.17"/>
    <n v="30.22"/>
  </r>
  <r>
    <n v="10720"/>
    <x v="11"/>
    <n v="6"/>
    <x v="310"/>
    <s v="CUST422"/>
    <x v="2"/>
    <x v="2"/>
    <s v="Kolkata"/>
    <x v="2"/>
    <s v="Mouse"/>
    <n v="1"/>
    <n v="3616.37"/>
    <n v="641.59"/>
  </r>
  <r>
    <n v="10721"/>
    <x v="3"/>
    <n v="1"/>
    <x v="13"/>
    <s v="CUST746"/>
    <x v="0"/>
    <x v="3"/>
    <s v="Chennai"/>
    <x v="1"/>
    <s v="Sofa"/>
    <n v="1"/>
    <n v="3334.86"/>
    <n v="611.29"/>
  </r>
  <r>
    <n v="10722"/>
    <x v="9"/>
    <n v="9"/>
    <x v="116"/>
    <s v="CUST725"/>
    <x v="1"/>
    <x v="2"/>
    <s v="Bhubaneswar"/>
    <x v="2"/>
    <s v="Keyboard"/>
    <n v="6"/>
    <n v="4555.2299999999996"/>
    <n v="208.78"/>
  </r>
  <r>
    <n v="10723"/>
    <x v="5"/>
    <n v="7"/>
    <x v="48"/>
    <s v="CUST894"/>
    <x v="1"/>
    <x v="1"/>
    <s v="Pune"/>
    <x v="0"/>
    <s v="Pen"/>
    <n v="8"/>
    <n v="3517.61"/>
    <n v="878.35"/>
  </r>
  <r>
    <n v="10724"/>
    <x v="0"/>
    <n v="10"/>
    <x v="169"/>
    <s v="CUST390"/>
    <x v="1"/>
    <x v="2"/>
    <s v="Kolkata"/>
    <x v="1"/>
    <s v="Bookcase"/>
    <n v="7"/>
    <n v="3652.98"/>
    <n v="845.9"/>
  </r>
  <r>
    <n v="10725"/>
    <x v="2"/>
    <n v="5"/>
    <x v="43"/>
    <s v="CUST347"/>
    <x v="2"/>
    <x v="0"/>
    <s v="Chandigarh"/>
    <x v="0"/>
    <s v="Binder"/>
    <n v="3"/>
    <n v="214.77"/>
    <n v="4.55"/>
  </r>
  <r>
    <n v="10726"/>
    <x v="1"/>
    <n v="11"/>
    <x v="51"/>
    <s v="CUST227"/>
    <x v="2"/>
    <x v="1"/>
    <s v="Mumbai"/>
    <x v="0"/>
    <s v="Paper"/>
    <n v="6"/>
    <n v="1372.81"/>
    <n v="230.43"/>
  </r>
  <r>
    <n v="10727"/>
    <x v="1"/>
    <n v="11"/>
    <x v="311"/>
    <s v="CUST781"/>
    <x v="0"/>
    <x v="2"/>
    <s v="Kolkata"/>
    <x v="2"/>
    <s v="Keyboard"/>
    <n v="4"/>
    <n v="4046.4"/>
    <n v="1146.23"/>
  </r>
  <r>
    <n v="10728"/>
    <x v="11"/>
    <n v="6"/>
    <x v="204"/>
    <s v="CUST628"/>
    <x v="0"/>
    <x v="3"/>
    <s v="Chennai"/>
    <x v="2"/>
    <s v="Keyboard"/>
    <n v="3"/>
    <n v="3600.32"/>
    <n v="622.99"/>
  </r>
  <r>
    <n v="10729"/>
    <x v="7"/>
    <n v="2"/>
    <x v="312"/>
    <s v="CUST535"/>
    <x v="1"/>
    <x v="3"/>
    <s v="Chennai"/>
    <x v="2"/>
    <s v="Laptop"/>
    <n v="3"/>
    <n v="3587.04"/>
    <n v="914.07"/>
  </r>
  <r>
    <n v="10730"/>
    <x v="5"/>
    <n v="7"/>
    <x v="265"/>
    <s v="CUST992"/>
    <x v="2"/>
    <x v="1"/>
    <s v="Mumbai"/>
    <x v="2"/>
    <s v="Laptop"/>
    <n v="6"/>
    <n v="3416.43"/>
    <n v="458.92"/>
  </r>
  <r>
    <n v="10731"/>
    <x v="10"/>
    <n v="12"/>
    <x v="172"/>
    <s v="CUST568"/>
    <x v="1"/>
    <x v="1"/>
    <s v="Pune"/>
    <x v="2"/>
    <s v="Monitor"/>
    <n v="7"/>
    <n v="4136.68"/>
    <n v="343.4"/>
  </r>
  <r>
    <n v="10732"/>
    <x v="6"/>
    <n v="3"/>
    <x v="186"/>
    <s v="CUST716"/>
    <x v="2"/>
    <x v="0"/>
    <s v="Delhi"/>
    <x v="2"/>
    <s v="Monitor"/>
    <n v="1"/>
    <n v="3757.83"/>
    <n v="1037.8699999999999"/>
  </r>
  <r>
    <n v="10733"/>
    <x v="5"/>
    <n v="7"/>
    <x v="82"/>
    <s v="CUST410"/>
    <x v="2"/>
    <x v="0"/>
    <s v="Delhi"/>
    <x v="2"/>
    <s v="Keyboard"/>
    <n v="1"/>
    <n v="2661.61"/>
    <n v="180.93"/>
  </r>
  <r>
    <n v="10734"/>
    <x v="4"/>
    <n v="4"/>
    <x v="313"/>
    <s v="CUST287"/>
    <x v="0"/>
    <x v="1"/>
    <s v="Mumbai"/>
    <x v="1"/>
    <s v="Table"/>
    <n v="7"/>
    <n v="338.39"/>
    <n v="3.67"/>
  </r>
  <r>
    <n v="10735"/>
    <x v="0"/>
    <n v="10"/>
    <x v="184"/>
    <s v="CUST563"/>
    <x v="2"/>
    <x v="1"/>
    <s v="Mumbai"/>
    <x v="1"/>
    <s v="Bookcase"/>
    <n v="2"/>
    <n v="4365.09"/>
    <n v="616.64"/>
  </r>
  <r>
    <n v="10736"/>
    <x v="8"/>
    <n v="8"/>
    <x v="314"/>
    <s v="CUST252"/>
    <x v="0"/>
    <x v="1"/>
    <s v="Pune"/>
    <x v="0"/>
    <s v="Pen"/>
    <n v="3"/>
    <n v="2573.34"/>
    <n v="380.21"/>
  </r>
  <r>
    <n v="10737"/>
    <x v="10"/>
    <n v="12"/>
    <x v="128"/>
    <s v="CUST553"/>
    <x v="0"/>
    <x v="2"/>
    <s v="Kolkata"/>
    <x v="0"/>
    <s v="Storage Box"/>
    <n v="7"/>
    <n v="1240.83"/>
    <n v="130.6"/>
  </r>
  <r>
    <n v="10738"/>
    <x v="4"/>
    <n v="4"/>
    <x v="165"/>
    <s v="CUST733"/>
    <x v="0"/>
    <x v="2"/>
    <s v="Kolkata"/>
    <x v="1"/>
    <s v="Chair"/>
    <n v="5"/>
    <n v="2849.12"/>
    <n v="174.69"/>
  </r>
  <r>
    <n v="10739"/>
    <x v="2"/>
    <n v="5"/>
    <x v="62"/>
    <s v="CUST905"/>
    <x v="1"/>
    <x v="0"/>
    <s v="Delhi"/>
    <x v="2"/>
    <s v="Laptop"/>
    <n v="2"/>
    <n v="3325.45"/>
    <n v="512.20000000000005"/>
  </r>
  <r>
    <n v="10740"/>
    <x v="11"/>
    <n v="6"/>
    <x v="57"/>
    <s v="CUST547"/>
    <x v="1"/>
    <x v="3"/>
    <s v="Chennai"/>
    <x v="1"/>
    <s v="Bookcase"/>
    <n v="7"/>
    <n v="2985.58"/>
    <n v="422.73"/>
  </r>
  <r>
    <n v="10741"/>
    <x v="6"/>
    <n v="3"/>
    <x v="315"/>
    <s v="CUST392"/>
    <x v="1"/>
    <x v="1"/>
    <s v="Mumbai"/>
    <x v="0"/>
    <s v="Binder"/>
    <n v="7"/>
    <n v="1360.17"/>
    <n v="97.06"/>
  </r>
  <r>
    <n v="10742"/>
    <x v="11"/>
    <n v="6"/>
    <x v="304"/>
    <s v="CUST285"/>
    <x v="1"/>
    <x v="3"/>
    <s v="Chennai"/>
    <x v="1"/>
    <s v="Table"/>
    <n v="5"/>
    <n v="4765.6099999999997"/>
    <n v="1040.8900000000001"/>
  </r>
  <r>
    <n v="10743"/>
    <x v="6"/>
    <n v="3"/>
    <x v="60"/>
    <s v="CUST153"/>
    <x v="1"/>
    <x v="0"/>
    <s v="Chandigarh"/>
    <x v="2"/>
    <s v="Laptop"/>
    <n v="6"/>
    <n v="798.06"/>
    <n v="192.28"/>
  </r>
  <r>
    <n v="10744"/>
    <x v="7"/>
    <n v="2"/>
    <x v="293"/>
    <s v="CUST595"/>
    <x v="1"/>
    <x v="3"/>
    <s v="Bengaluru"/>
    <x v="2"/>
    <s v="Monitor"/>
    <n v="2"/>
    <n v="1419.51"/>
    <n v="128.63"/>
  </r>
  <r>
    <n v="10745"/>
    <x v="11"/>
    <n v="6"/>
    <x v="202"/>
    <s v="CUST681"/>
    <x v="2"/>
    <x v="1"/>
    <s v="Mumbai"/>
    <x v="1"/>
    <s v="Bookcase"/>
    <n v="2"/>
    <n v="1306.95"/>
    <n v="168.07"/>
  </r>
  <r>
    <n v="10746"/>
    <x v="0"/>
    <n v="10"/>
    <x v="36"/>
    <s v="CUST533"/>
    <x v="0"/>
    <x v="1"/>
    <s v="Mumbai"/>
    <x v="0"/>
    <s v="Pen"/>
    <n v="3"/>
    <n v="1929.2"/>
    <n v="493.47"/>
  </r>
  <r>
    <n v="10747"/>
    <x v="9"/>
    <n v="9"/>
    <x v="255"/>
    <s v="CUST379"/>
    <x v="0"/>
    <x v="1"/>
    <s v="Mumbai"/>
    <x v="1"/>
    <s v="Sofa"/>
    <n v="5"/>
    <n v="3299.99"/>
    <n v="297.07"/>
  </r>
  <r>
    <n v="10748"/>
    <x v="11"/>
    <n v="6"/>
    <x v="37"/>
    <s v="CUST191"/>
    <x v="2"/>
    <x v="2"/>
    <s v="Bhubaneswar"/>
    <x v="2"/>
    <s v="Mouse"/>
    <n v="5"/>
    <n v="322.88"/>
    <n v="19.5"/>
  </r>
  <r>
    <n v="10749"/>
    <x v="10"/>
    <n v="12"/>
    <x v="83"/>
    <s v="CUST450"/>
    <x v="0"/>
    <x v="0"/>
    <s v="Delhi"/>
    <x v="0"/>
    <s v="Binder"/>
    <n v="7"/>
    <n v="1133.17"/>
    <n v="119.46"/>
  </r>
  <r>
    <n v="10750"/>
    <x v="3"/>
    <n v="1"/>
    <x v="288"/>
    <s v="CUST808"/>
    <x v="1"/>
    <x v="2"/>
    <s v="Bhubaneswar"/>
    <x v="2"/>
    <s v="Mouse"/>
    <n v="6"/>
    <n v="1773.99"/>
    <n v="232.67"/>
  </r>
  <r>
    <n v="10751"/>
    <x v="5"/>
    <n v="7"/>
    <x v="273"/>
    <s v="CUST651"/>
    <x v="1"/>
    <x v="0"/>
    <s v="Chandigarh"/>
    <x v="1"/>
    <s v="Chair"/>
    <n v="3"/>
    <n v="2124.5"/>
    <n v="511.39"/>
  </r>
  <r>
    <n v="10752"/>
    <x v="5"/>
    <n v="7"/>
    <x v="291"/>
    <s v="CUST496"/>
    <x v="1"/>
    <x v="0"/>
    <s v="Delhi"/>
    <x v="0"/>
    <s v="Storage Box"/>
    <n v="2"/>
    <n v="1829.67"/>
    <n v="380.52"/>
  </r>
  <r>
    <n v="10753"/>
    <x v="2"/>
    <n v="5"/>
    <x v="316"/>
    <s v="CUST796"/>
    <x v="0"/>
    <x v="0"/>
    <s v="Delhi"/>
    <x v="2"/>
    <s v="Keyboard"/>
    <n v="4"/>
    <n v="2278.4299999999998"/>
    <n v="238.12"/>
  </r>
  <r>
    <n v="10754"/>
    <x v="2"/>
    <n v="5"/>
    <x v="316"/>
    <s v="CUST604"/>
    <x v="0"/>
    <x v="2"/>
    <s v="Kolkata"/>
    <x v="1"/>
    <s v="Bookcase"/>
    <n v="4"/>
    <n v="1247.8599999999999"/>
    <n v="180.14"/>
  </r>
  <r>
    <n v="10755"/>
    <x v="0"/>
    <n v="10"/>
    <x v="134"/>
    <s v="CUST298"/>
    <x v="0"/>
    <x v="3"/>
    <s v="Bengaluru"/>
    <x v="1"/>
    <s v="Sofa"/>
    <n v="2"/>
    <n v="4362.59"/>
    <n v="789.42"/>
  </r>
  <r>
    <n v="10756"/>
    <x v="9"/>
    <n v="9"/>
    <x v="24"/>
    <s v="CUST846"/>
    <x v="2"/>
    <x v="3"/>
    <s v="Bengaluru"/>
    <x v="0"/>
    <s v="Pen"/>
    <n v="2"/>
    <n v="724.41"/>
    <n v="119.74"/>
  </r>
  <r>
    <n v="10757"/>
    <x v="1"/>
    <n v="11"/>
    <x v="1"/>
    <s v="CUST153"/>
    <x v="2"/>
    <x v="3"/>
    <s v="Bengaluru"/>
    <x v="0"/>
    <s v="Binder"/>
    <n v="8"/>
    <n v="109.58"/>
    <n v="-50.13"/>
  </r>
  <r>
    <n v="10758"/>
    <x v="4"/>
    <n v="4"/>
    <x v="317"/>
    <s v="CUST148"/>
    <x v="2"/>
    <x v="1"/>
    <s v="Pune"/>
    <x v="2"/>
    <s v="Laptop"/>
    <n v="8"/>
    <n v="2528.3200000000002"/>
    <n v="449.02"/>
  </r>
  <r>
    <n v="10759"/>
    <x v="3"/>
    <n v="1"/>
    <x v="279"/>
    <s v="CUST855"/>
    <x v="1"/>
    <x v="1"/>
    <s v="Pune"/>
    <x v="2"/>
    <s v="Laptop"/>
    <n v="7"/>
    <n v="1053.58"/>
    <n v="17.05"/>
  </r>
  <r>
    <n v="10760"/>
    <x v="3"/>
    <n v="1"/>
    <x v="318"/>
    <s v="CUST591"/>
    <x v="2"/>
    <x v="1"/>
    <s v="Mumbai"/>
    <x v="1"/>
    <s v="Table"/>
    <n v="3"/>
    <n v="1713.2"/>
    <n v="50.05"/>
  </r>
  <r>
    <n v="10761"/>
    <x v="11"/>
    <n v="6"/>
    <x v="122"/>
    <s v="CUST632"/>
    <x v="1"/>
    <x v="0"/>
    <s v="Chandigarh"/>
    <x v="2"/>
    <s v="Mouse"/>
    <n v="2"/>
    <n v="2420.52"/>
    <n v="617.97"/>
  </r>
  <r>
    <n v="10762"/>
    <x v="11"/>
    <n v="6"/>
    <x v="35"/>
    <s v="CUST968"/>
    <x v="0"/>
    <x v="0"/>
    <s v="Chandigarh"/>
    <x v="1"/>
    <s v="Sofa"/>
    <n v="2"/>
    <n v="519.12"/>
    <n v="30.5"/>
  </r>
  <r>
    <n v="10763"/>
    <x v="10"/>
    <n v="12"/>
    <x v="235"/>
    <s v="CUST157"/>
    <x v="0"/>
    <x v="0"/>
    <s v="Delhi"/>
    <x v="1"/>
    <s v="Sofa"/>
    <n v="1"/>
    <n v="1577.21"/>
    <n v="319.19"/>
  </r>
  <r>
    <n v="10764"/>
    <x v="10"/>
    <n v="12"/>
    <x v="14"/>
    <s v="CUST738"/>
    <x v="1"/>
    <x v="0"/>
    <s v="Chandigarh"/>
    <x v="2"/>
    <s v="Monitor"/>
    <n v="2"/>
    <n v="3124.78"/>
    <n v="390.94"/>
  </r>
  <r>
    <n v="10765"/>
    <x v="8"/>
    <n v="8"/>
    <x v="96"/>
    <s v="CUST629"/>
    <x v="2"/>
    <x v="1"/>
    <s v="Pune"/>
    <x v="2"/>
    <s v="Monitor"/>
    <n v="2"/>
    <n v="1764.12"/>
    <n v="423.42"/>
  </r>
  <r>
    <n v="10766"/>
    <x v="6"/>
    <n v="3"/>
    <x v="319"/>
    <s v="CUST752"/>
    <x v="0"/>
    <x v="3"/>
    <s v="Bengaluru"/>
    <x v="1"/>
    <s v="Chair"/>
    <n v="2"/>
    <n v="3005.14"/>
    <n v="691.48"/>
  </r>
  <r>
    <n v="10767"/>
    <x v="6"/>
    <n v="3"/>
    <x v="284"/>
    <s v="CUST419"/>
    <x v="0"/>
    <x v="2"/>
    <s v="Bhubaneswar"/>
    <x v="2"/>
    <s v="Monitor"/>
    <n v="8"/>
    <n v="1011.02"/>
    <n v="80.94"/>
  </r>
  <r>
    <n v="10768"/>
    <x v="3"/>
    <n v="1"/>
    <x v="183"/>
    <s v="CUST630"/>
    <x v="0"/>
    <x v="1"/>
    <s v="Pune"/>
    <x v="2"/>
    <s v="Mouse"/>
    <n v="3"/>
    <n v="2400.67"/>
    <n v="453.03"/>
  </r>
  <r>
    <n v="10769"/>
    <x v="4"/>
    <n v="4"/>
    <x v="275"/>
    <s v="CUST904"/>
    <x v="1"/>
    <x v="3"/>
    <s v="Bengaluru"/>
    <x v="1"/>
    <s v="Chair"/>
    <n v="7"/>
    <n v="1784.7"/>
    <n v="460.87"/>
  </r>
  <r>
    <n v="10770"/>
    <x v="11"/>
    <n v="6"/>
    <x v="44"/>
    <s v="CUST730"/>
    <x v="2"/>
    <x v="2"/>
    <s v="Kolkata"/>
    <x v="0"/>
    <s v="Storage Box"/>
    <n v="8"/>
    <n v="3038.84"/>
    <n v="345.68"/>
  </r>
  <r>
    <n v="10771"/>
    <x v="3"/>
    <n v="1"/>
    <x v="21"/>
    <s v="CUST754"/>
    <x v="1"/>
    <x v="1"/>
    <s v="Pune"/>
    <x v="1"/>
    <s v="Chair"/>
    <n v="8"/>
    <n v="4392.92"/>
    <n v="1170.04"/>
  </r>
  <r>
    <n v="10772"/>
    <x v="5"/>
    <n v="7"/>
    <x v="147"/>
    <s v="CUST310"/>
    <x v="2"/>
    <x v="3"/>
    <s v="Chennai"/>
    <x v="0"/>
    <s v="Pen"/>
    <n v="4"/>
    <n v="2455.66"/>
    <n v="513.02"/>
  </r>
  <r>
    <n v="10773"/>
    <x v="8"/>
    <n v="8"/>
    <x v="63"/>
    <s v="CUST299"/>
    <x v="0"/>
    <x v="3"/>
    <s v="Bengaluru"/>
    <x v="2"/>
    <s v="Laptop"/>
    <n v="2"/>
    <n v="1853.64"/>
    <n v="335.49"/>
  </r>
  <r>
    <n v="10774"/>
    <x v="6"/>
    <n v="3"/>
    <x v="38"/>
    <s v="CUST447"/>
    <x v="0"/>
    <x v="2"/>
    <s v="Kolkata"/>
    <x v="1"/>
    <s v="Table"/>
    <n v="4"/>
    <n v="1492.09"/>
    <n v="130.08000000000001"/>
  </r>
  <r>
    <n v="10775"/>
    <x v="10"/>
    <n v="12"/>
    <x v="235"/>
    <s v="CUST240"/>
    <x v="2"/>
    <x v="3"/>
    <s v="Bengaluru"/>
    <x v="1"/>
    <s v="Chair"/>
    <n v="3"/>
    <n v="4230.12"/>
    <n v="1172.45"/>
  </r>
  <r>
    <n v="10776"/>
    <x v="9"/>
    <n v="9"/>
    <x v="115"/>
    <s v="CUST918"/>
    <x v="0"/>
    <x v="0"/>
    <s v="Chandigarh"/>
    <x v="1"/>
    <s v="Bookcase"/>
    <n v="8"/>
    <n v="1276.73"/>
    <n v="256.12"/>
  </r>
  <r>
    <n v="10777"/>
    <x v="5"/>
    <n v="7"/>
    <x v="82"/>
    <s v="CUST425"/>
    <x v="0"/>
    <x v="1"/>
    <s v="Mumbai"/>
    <x v="1"/>
    <s v="Table"/>
    <n v="3"/>
    <n v="3995"/>
    <n v="353.37"/>
  </r>
  <r>
    <n v="10778"/>
    <x v="2"/>
    <n v="5"/>
    <x v="316"/>
    <s v="CUST993"/>
    <x v="1"/>
    <x v="1"/>
    <s v="Mumbai"/>
    <x v="1"/>
    <s v="Table"/>
    <n v="5"/>
    <n v="3968.98"/>
    <n v="518.26"/>
  </r>
  <r>
    <n v="10779"/>
    <x v="5"/>
    <n v="7"/>
    <x v="215"/>
    <s v="CUST869"/>
    <x v="0"/>
    <x v="1"/>
    <s v="Mumbai"/>
    <x v="0"/>
    <s v="Paper"/>
    <n v="8"/>
    <n v="3975.89"/>
    <n v="793.23"/>
  </r>
  <r>
    <n v="10780"/>
    <x v="9"/>
    <n v="9"/>
    <x v="141"/>
    <s v="CUST585"/>
    <x v="2"/>
    <x v="2"/>
    <s v="Bhubaneswar"/>
    <x v="0"/>
    <s v="Storage Box"/>
    <n v="3"/>
    <n v="1676.93"/>
    <n v="171.14"/>
  </r>
  <r>
    <n v="10781"/>
    <x v="8"/>
    <n v="8"/>
    <x v="185"/>
    <s v="CUST486"/>
    <x v="0"/>
    <x v="1"/>
    <s v="Mumbai"/>
    <x v="1"/>
    <s v="Table"/>
    <n v="4"/>
    <n v="2315.19"/>
    <n v="229.56"/>
  </r>
  <r>
    <n v="10782"/>
    <x v="4"/>
    <n v="4"/>
    <x v="251"/>
    <s v="CUST697"/>
    <x v="1"/>
    <x v="3"/>
    <s v="Chennai"/>
    <x v="2"/>
    <s v="Laptop"/>
    <n v="3"/>
    <n v="3782.95"/>
    <n v="416.3"/>
  </r>
  <r>
    <n v="10783"/>
    <x v="2"/>
    <n v="5"/>
    <x v="320"/>
    <s v="CUST491"/>
    <x v="1"/>
    <x v="1"/>
    <s v="Pune"/>
    <x v="2"/>
    <s v="Monitor"/>
    <n v="8"/>
    <n v="2219.2800000000002"/>
    <n v="265.11"/>
  </r>
  <r>
    <n v="10784"/>
    <x v="9"/>
    <n v="9"/>
    <x v="205"/>
    <s v="CUST659"/>
    <x v="0"/>
    <x v="3"/>
    <s v="Chennai"/>
    <x v="1"/>
    <s v="Bookcase"/>
    <n v="2"/>
    <n v="1859.56"/>
    <n v="47.03"/>
  </r>
  <r>
    <n v="10785"/>
    <x v="4"/>
    <n v="4"/>
    <x v="321"/>
    <s v="CUST791"/>
    <x v="2"/>
    <x v="0"/>
    <s v="Chandigarh"/>
    <x v="1"/>
    <s v="Chair"/>
    <n v="2"/>
    <n v="449.61"/>
    <n v="6.75"/>
  </r>
  <r>
    <n v="10786"/>
    <x v="0"/>
    <n v="10"/>
    <x v="78"/>
    <s v="CUST367"/>
    <x v="1"/>
    <x v="2"/>
    <s v="Bhubaneswar"/>
    <x v="0"/>
    <s v="Binder"/>
    <n v="4"/>
    <n v="3557.65"/>
    <n v="965.67"/>
  </r>
  <r>
    <n v="10787"/>
    <x v="10"/>
    <n v="12"/>
    <x v="322"/>
    <s v="CUST624"/>
    <x v="1"/>
    <x v="2"/>
    <s v="Bhubaneswar"/>
    <x v="2"/>
    <s v="Monitor"/>
    <n v="7"/>
    <n v="4127.12"/>
    <n v="987.06"/>
  </r>
  <r>
    <n v="10788"/>
    <x v="8"/>
    <n v="8"/>
    <x v="10"/>
    <s v="CUST839"/>
    <x v="2"/>
    <x v="1"/>
    <s v="Mumbai"/>
    <x v="1"/>
    <s v="Table"/>
    <n v="8"/>
    <n v="1245.24"/>
    <n v="189.74"/>
  </r>
  <r>
    <n v="10789"/>
    <x v="8"/>
    <n v="8"/>
    <x v="56"/>
    <s v="CUST973"/>
    <x v="0"/>
    <x v="2"/>
    <s v="Kolkata"/>
    <x v="2"/>
    <s v="Mouse"/>
    <n v="7"/>
    <n v="3873.64"/>
    <n v="848.62"/>
  </r>
  <r>
    <n v="10790"/>
    <x v="5"/>
    <n v="7"/>
    <x v="5"/>
    <s v="CUST447"/>
    <x v="1"/>
    <x v="0"/>
    <s v="Chandigarh"/>
    <x v="1"/>
    <s v="Table"/>
    <n v="5"/>
    <n v="4722.43"/>
    <n v="166.51"/>
  </r>
  <r>
    <n v="10791"/>
    <x v="6"/>
    <n v="3"/>
    <x v="8"/>
    <s v="CUST257"/>
    <x v="2"/>
    <x v="1"/>
    <s v="Pune"/>
    <x v="0"/>
    <s v="Storage Box"/>
    <n v="5"/>
    <n v="1697.79"/>
    <n v="16.22"/>
  </r>
  <r>
    <n v="10792"/>
    <x v="0"/>
    <n v="10"/>
    <x v="195"/>
    <s v="CUST562"/>
    <x v="0"/>
    <x v="1"/>
    <s v="Pune"/>
    <x v="1"/>
    <s v="Sofa"/>
    <n v="2"/>
    <n v="2719"/>
    <n v="253.11"/>
  </r>
  <r>
    <n v="10793"/>
    <x v="4"/>
    <n v="4"/>
    <x v="323"/>
    <s v="CUST303"/>
    <x v="1"/>
    <x v="2"/>
    <s v="Kolkata"/>
    <x v="1"/>
    <s v="Chair"/>
    <n v="3"/>
    <n v="257.08999999999997"/>
    <n v="8.2799999999999994"/>
  </r>
  <r>
    <n v="10794"/>
    <x v="9"/>
    <n v="9"/>
    <x v="269"/>
    <s v="CUST111"/>
    <x v="1"/>
    <x v="1"/>
    <s v="Pune"/>
    <x v="1"/>
    <s v="Table"/>
    <n v="5"/>
    <n v="3331.89"/>
    <n v="219.14"/>
  </r>
  <r>
    <n v="10795"/>
    <x v="5"/>
    <n v="7"/>
    <x v="299"/>
    <s v="CUST986"/>
    <x v="1"/>
    <x v="2"/>
    <s v="Bhubaneswar"/>
    <x v="2"/>
    <s v="Mouse"/>
    <n v="2"/>
    <n v="732.77"/>
    <n v="38.97"/>
  </r>
  <r>
    <n v="10796"/>
    <x v="4"/>
    <n v="4"/>
    <x v="275"/>
    <s v="CUST614"/>
    <x v="0"/>
    <x v="3"/>
    <s v="Bengaluru"/>
    <x v="2"/>
    <s v="Monitor"/>
    <n v="8"/>
    <n v="878.03"/>
    <n v="139.11000000000001"/>
  </r>
  <r>
    <n v="10797"/>
    <x v="2"/>
    <n v="5"/>
    <x v="260"/>
    <s v="CUST638"/>
    <x v="2"/>
    <x v="1"/>
    <s v="Pune"/>
    <x v="1"/>
    <s v="Chair"/>
    <n v="3"/>
    <n v="2284.08"/>
    <n v="524.57000000000005"/>
  </r>
  <r>
    <n v="10798"/>
    <x v="10"/>
    <n v="12"/>
    <x v="258"/>
    <s v="CUST962"/>
    <x v="0"/>
    <x v="1"/>
    <s v="Pune"/>
    <x v="2"/>
    <s v="Laptop"/>
    <n v="2"/>
    <n v="1510.77"/>
    <n v="362.65"/>
  </r>
  <r>
    <n v="10799"/>
    <x v="8"/>
    <n v="8"/>
    <x v="120"/>
    <s v="CUST493"/>
    <x v="0"/>
    <x v="2"/>
    <s v="Bhubaneswar"/>
    <x v="0"/>
    <s v="Pen"/>
    <n v="7"/>
    <n v="1320.76"/>
    <n v="289.87"/>
  </r>
  <r>
    <n v="10800"/>
    <x v="0"/>
    <n v="10"/>
    <x v="36"/>
    <s v="CUST398"/>
    <x v="0"/>
    <x v="3"/>
    <s v="Bengaluru"/>
    <x v="2"/>
    <s v="Laptop"/>
    <n v="4"/>
    <n v="4439.1499999999996"/>
    <n v="308.97000000000003"/>
  </r>
  <r>
    <n v="10801"/>
    <x v="11"/>
    <n v="6"/>
    <x v="304"/>
    <s v="CUST519"/>
    <x v="2"/>
    <x v="0"/>
    <s v="Delhi"/>
    <x v="2"/>
    <s v="Monitor"/>
    <n v="2"/>
    <n v="4977.05"/>
    <n v="333.56"/>
  </r>
  <r>
    <n v="10802"/>
    <x v="8"/>
    <n v="8"/>
    <x v="75"/>
    <s v="CUST490"/>
    <x v="2"/>
    <x v="3"/>
    <s v="Chennai"/>
    <x v="1"/>
    <s v="Chair"/>
    <n v="8"/>
    <n v="230.92"/>
    <n v="-19.13"/>
  </r>
  <r>
    <n v="10803"/>
    <x v="10"/>
    <n v="12"/>
    <x v="128"/>
    <s v="CUST866"/>
    <x v="2"/>
    <x v="1"/>
    <s v="Mumbai"/>
    <x v="2"/>
    <s v="Laptop"/>
    <n v="1"/>
    <n v="1327.97"/>
    <n v="288.17"/>
  </r>
  <r>
    <n v="10804"/>
    <x v="2"/>
    <n v="5"/>
    <x v="2"/>
    <s v="CUST961"/>
    <x v="1"/>
    <x v="1"/>
    <s v="Pune"/>
    <x v="1"/>
    <s v="Chair"/>
    <n v="4"/>
    <n v="3596.55"/>
    <n v="526.32000000000005"/>
  </r>
  <r>
    <n v="10805"/>
    <x v="7"/>
    <n v="2"/>
    <x v="324"/>
    <s v="CUST787"/>
    <x v="1"/>
    <x v="3"/>
    <s v="Bengaluru"/>
    <x v="0"/>
    <s v="Paper"/>
    <n v="3"/>
    <n v="1541.31"/>
    <n v="244"/>
  </r>
  <r>
    <n v="10806"/>
    <x v="4"/>
    <n v="4"/>
    <x v="313"/>
    <s v="CUST552"/>
    <x v="0"/>
    <x v="2"/>
    <s v="Kolkata"/>
    <x v="2"/>
    <s v="Keyboard"/>
    <n v="3"/>
    <n v="1161.69"/>
    <n v="0.57999999999999996"/>
  </r>
  <r>
    <n v="10807"/>
    <x v="4"/>
    <n v="4"/>
    <x v="275"/>
    <s v="CUST355"/>
    <x v="2"/>
    <x v="0"/>
    <s v="Delhi"/>
    <x v="2"/>
    <s v="Keyboard"/>
    <n v="8"/>
    <n v="356.83"/>
    <n v="-58.98"/>
  </r>
  <r>
    <n v="10808"/>
    <x v="10"/>
    <n v="12"/>
    <x v="264"/>
    <s v="CUST785"/>
    <x v="1"/>
    <x v="3"/>
    <s v="Bengaluru"/>
    <x v="1"/>
    <s v="Chair"/>
    <n v="7"/>
    <n v="236.93"/>
    <n v="-69.34"/>
  </r>
  <r>
    <n v="10809"/>
    <x v="11"/>
    <n v="6"/>
    <x v="189"/>
    <s v="CUST675"/>
    <x v="0"/>
    <x v="3"/>
    <s v="Bengaluru"/>
    <x v="0"/>
    <s v="Pen"/>
    <n v="3"/>
    <n v="315.66000000000003"/>
    <n v="-25.34"/>
  </r>
  <r>
    <n v="10810"/>
    <x v="6"/>
    <n v="3"/>
    <x v="131"/>
    <s v="CUST115"/>
    <x v="2"/>
    <x v="3"/>
    <s v="Bengaluru"/>
    <x v="0"/>
    <s v="Storage Box"/>
    <n v="7"/>
    <n v="691.94"/>
    <n v="35.92"/>
  </r>
  <r>
    <n v="10811"/>
    <x v="1"/>
    <n v="11"/>
    <x v="222"/>
    <s v="CUST477"/>
    <x v="1"/>
    <x v="2"/>
    <s v="Kolkata"/>
    <x v="2"/>
    <s v="Mouse"/>
    <n v="8"/>
    <n v="1178.47"/>
    <n v="224.92"/>
  </r>
  <r>
    <n v="10812"/>
    <x v="0"/>
    <n v="10"/>
    <x v="195"/>
    <s v="CUST275"/>
    <x v="2"/>
    <x v="0"/>
    <s v="Delhi"/>
    <x v="2"/>
    <s v="Keyboard"/>
    <n v="8"/>
    <n v="4917.2"/>
    <n v="317.39999999999998"/>
  </r>
  <r>
    <n v="10813"/>
    <x v="11"/>
    <n v="6"/>
    <x v="283"/>
    <s v="CUST971"/>
    <x v="0"/>
    <x v="0"/>
    <s v="Chandigarh"/>
    <x v="0"/>
    <s v="Storage Box"/>
    <n v="3"/>
    <n v="1727.03"/>
    <n v="272.27"/>
  </r>
  <r>
    <n v="10814"/>
    <x v="0"/>
    <n v="10"/>
    <x v="307"/>
    <s v="CUST821"/>
    <x v="1"/>
    <x v="1"/>
    <s v="Mumbai"/>
    <x v="2"/>
    <s v="Laptop"/>
    <n v="8"/>
    <n v="1973.62"/>
    <n v="391.51"/>
  </r>
  <r>
    <n v="10815"/>
    <x v="7"/>
    <n v="2"/>
    <x v="267"/>
    <s v="CUST161"/>
    <x v="1"/>
    <x v="3"/>
    <s v="Bengaluru"/>
    <x v="0"/>
    <s v="Paper"/>
    <n v="5"/>
    <n v="1258.3399999999999"/>
    <n v="173.36"/>
  </r>
  <r>
    <n v="10816"/>
    <x v="1"/>
    <n v="11"/>
    <x v="176"/>
    <s v="CUST554"/>
    <x v="0"/>
    <x v="2"/>
    <s v="Bhubaneswar"/>
    <x v="2"/>
    <s v="Mouse"/>
    <n v="3"/>
    <n v="1941.16"/>
    <n v="384.83"/>
  </r>
  <r>
    <n v="10817"/>
    <x v="2"/>
    <n v="5"/>
    <x v="84"/>
    <s v="CUST868"/>
    <x v="1"/>
    <x v="2"/>
    <s v="Kolkata"/>
    <x v="2"/>
    <s v="Keyboard"/>
    <n v="1"/>
    <n v="2652.28"/>
    <n v="716.01"/>
  </r>
  <r>
    <n v="10818"/>
    <x v="2"/>
    <n v="5"/>
    <x v="263"/>
    <s v="CUST920"/>
    <x v="0"/>
    <x v="3"/>
    <s v="Chennai"/>
    <x v="2"/>
    <s v="Mouse"/>
    <n v="4"/>
    <n v="2742.63"/>
    <n v="692.27"/>
  </r>
  <r>
    <n v="10819"/>
    <x v="7"/>
    <n v="2"/>
    <x v="23"/>
    <s v="CUST297"/>
    <x v="1"/>
    <x v="3"/>
    <s v="Chennai"/>
    <x v="0"/>
    <s v="Binder"/>
    <n v="3"/>
    <n v="2267.5700000000002"/>
    <n v="29.82"/>
  </r>
  <r>
    <n v="10820"/>
    <x v="2"/>
    <n v="5"/>
    <x v="233"/>
    <s v="CUST619"/>
    <x v="1"/>
    <x v="3"/>
    <s v="Bengaluru"/>
    <x v="1"/>
    <s v="Chair"/>
    <n v="3"/>
    <n v="3003.89"/>
    <n v="681.24"/>
  </r>
  <r>
    <n v="10821"/>
    <x v="2"/>
    <n v="5"/>
    <x v="151"/>
    <s v="CUST690"/>
    <x v="2"/>
    <x v="1"/>
    <s v="Pune"/>
    <x v="2"/>
    <s v="Mouse"/>
    <n v="4"/>
    <n v="1300.1300000000001"/>
    <n v="97.46"/>
  </r>
  <r>
    <n v="10822"/>
    <x v="9"/>
    <n v="9"/>
    <x v="95"/>
    <s v="CUST724"/>
    <x v="0"/>
    <x v="3"/>
    <s v="Chennai"/>
    <x v="2"/>
    <s v="Laptop"/>
    <n v="6"/>
    <n v="2051.4"/>
    <n v="144.47"/>
  </r>
  <r>
    <n v="10823"/>
    <x v="11"/>
    <n v="6"/>
    <x v="37"/>
    <s v="CUST709"/>
    <x v="0"/>
    <x v="1"/>
    <s v="Mumbai"/>
    <x v="2"/>
    <s v="Laptop"/>
    <n v="7"/>
    <n v="2194.25"/>
    <n v="64.73"/>
  </r>
  <r>
    <n v="10824"/>
    <x v="9"/>
    <n v="9"/>
    <x v="255"/>
    <s v="CUST173"/>
    <x v="2"/>
    <x v="3"/>
    <s v="Bengaluru"/>
    <x v="2"/>
    <s v="Monitor"/>
    <n v="8"/>
    <n v="1598.65"/>
    <n v="136.91"/>
  </r>
  <r>
    <n v="10825"/>
    <x v="5"/>
    <n v="7"/>
    <x v="82"/>
    <s v="CUST603"/>
    <x v="2"/>
    <x v="3"/>
    <s v="Chennai"/>
    <x v="1"/>
    <s v="Table"/>
    <n v="4"/>
    <n v="120.48"/>
    <n v="-41.06"/>
  </r>
  <r>
    <n v="10826"/>
    <x v="5"/>
    <n v="7"/>
    <x v="66"/>
    <s v="CUST139"/>
    <x v="1"/>
    <x v="1"/>
    <s v="Pune"/>
    <x v="0"/>
    <s v="Binder"/>
    <n v="7"/>
    <n v="2498.8000000000002"/>
    <n v="466.57"/>
  </r>
  <r>
    <n v="10827"/>
    <x v="10"/>
    <n v="12"/>
    <x v="135"/>
    <s v="CUST600"/>
    <x v="0"/>
    <x v="1"/>
    <s v="Mumbai"/>
    <x v="1"/>
    <s v="Sofa"/>
    <n v="5"/>
    <n v="3879.22"/>
    <n v="887.99"/>
  </r>
  <r>
    <n v="10828"/>
    <x v="5"/>
    <n v="7"/>
    <x v="325"/>
    <s v="CUST746"/>
    <x v="0"/>
    <x v="2"/>
    <s v="Kolkata"/>
    <x v="0"/>
    <s v="Storage Box"/>
    <n v="7"/>
    <n v="3704.75"/>
    <n v="406.25"/>
  </r>
  <r>
    <n v="10829"/>
    <x v="6"/>
    <n v="3"/>
    <x v="326"/>
    <s v="CUST112"/>
    <x v="1"/>
    <x v="0"/>
    <s v="Delhi"/>
    <x v="2"/>
    <s v="Monitor"/>
    <n v="3"/>
    <n v="1346.01"/>
    <n v="174.75"/>
  </r>
  <r>
    <n v="10830"/>
    <x v="10"/>
    <n v="12"/>
    <x v="167"/>
    <s v="CUST409"/>
    <x v="0"/>
    <x v="0"/>
    <s v="Chandigarh"/>
    <x v="2"/>
    <s v="Laptop"/>
    <n v="4"/>
    <n v="4392.43"/>
    <n v="359.03"/>
  </r>
  <r>
    <n v="10831"/>
    <x v="6"/>
    <n v="3"/>
    <x v="143"/>
    <s v="CUST375"/>
    <x v="0"/>
    <x v="1"/>
    <s v="Pune"/>
    <x v="0"/>
    <s v="Storage Box"/>
    <n v="2"/>
    <n v="635.44000000000005"/>
    <n v="42.98"/>
  </r>
  <r>
    <n v="10832"/>
    <x v="7"/>
    <n v="2"/>
    <x v="23"/>
    <s v="CUST892"/>
    <x v="0"/>
    <x v="3"/>
    <s v="Chennai"/>
    <x v="0"/>
    <s v="Binder"/>
    <n v="1"/>
    <n v="4936.42"/>
    <n v="1254.17"/>
  </r>
  <r>
    <n v="10833"/>
    <x v="4"/>
    <n v="4"/>
    <x v="221"/>
    <s v="CUST598"/>
    <x v="1"/>
    <x v="1"/>
    <s v="Pune"/>
    <x v="0"/>
    <s v="Binder"/>
    <n v="7"/>
    <n v="936.11"/>
    <n v="64.08"/>
  </r>
  <r>
    <n v="10834"/>
    <x v="4"/>
    <n v="4"/>
    <x v="165"/>
    <s v="CUST365"/>
    <x v="2"/>
    <x v="0"/>
    <s v="Chandigarh"/>
    <x v="0"/>
    <s v="Pen"/>
    <n v="3"/>
    <n v="1084.6099999999999"/>
    <n v="176.65"/>
  </r>
  <r>
    <n v="10835"/>
    <x v="11"/>
    <n v="6"/>
    <x v="110"/>
    <s v="CUST130"/>
    <x v="0"/>
    <x v="1"/>
    <s v="Mumbai"/>
    <x v="0"/>
    <s v="Pen"/>
    <n v="2"/>
    <n v="1536.32"/>
    <n v="194.22"/>
  </r>
  <r>
    <n v="10836"/>
    <x v="0"/>
    <n v="10"/>
    <x v="298"/>
    <s v="CUST908"/>
    <x v="1"/>
    <x v="3"/>
    <s v="Chennai"/>
    <x v="2"/>
    <s v="Laptop"/>
    <n v="1"/>
    <n v="399.18"/>
    <n v="94.26"/>
  </r>
  <r>
    <n v="10837"/>
    <x v="9"/>
    <n v="9"/>
    <x v="114"/>
    <s v="CUST584"/>
    <x v="2"/>
    <x v="0"/>
    <s v="Delhi"/>
    <x v="0"/>
    <s v="Paper"/>
    <n v="7"/>
    <n v="3054.63"/>
    <n v="830.25"/>
  </r>
  <r>
    <n v="10838"/>
    <x v="5"/>
    <n v="7"/>
    <x v="327"/>
    <s v="CUST725"/>
    <x v="1"/>
    <x v="1"/>
    <s v="Pune"/>
    <x v="2"/>
    <s v="Keyboard"/>
    <n v="6"/>
    <n v="4102.55"/>
    <n v="1103.74"/>
  </r>
  <r>
    <n v="10839"/>
    <x v="6"/>
    <n v="3"/>
    <x v="8"/>
    <s v="CUST126"/>
    <x v="0"/>
    <x v="2"/>
    <s v="Bhubaneswar"/>
    <x v="1"/>
    <s v="Chair"/>
    <n v="8"/>
    <n v="4365.6499999999996"/>
    <n v="573.28"/>
  </r>
  <r>
    <n v="10840"/>
    <x v="9"/>
    <n v="9"/>
    <x v="17"/>
    <s v="CUST523"/>
    <x v="0"/>
    <x v="0"/>
    <s v="Chandigarh"/>
    <x v="0"/>
    <s v="Pen"/>
    <n v="6"/>
    <n v="2314.4"/>
    <n v="425.76"/>
  </r>
  <r>
    <n v="10841"/>
    <x v="11"/>
    <n v="6"/>
    <x v="304"/>
    <s v="CUST794"/>
    <x v="2"/>
    <x v="3"/>
    <s v="Bengaluru"/>
    <x v="0"/>
    <s v="Binder"/>
    <n v="1"/>
    <n v="3205.51"/>
    <n v="763.27"/>
  </r>
  <r>
    <n v="10842"/>
    <x v="10"/>
    <n v="12"/>
    <x v="14"/>
    <s v="CUST977"/>
    <x v="0"/>
    <x v="3"/>
    <s v="Chennai"/>
    <x v="2"/>
    <s v="Laptop"/>
    <n v="6"/>
    <n v="2196.79"/>
    <n v="528.32000000000005"/>
  </r>
  <r>
    <n v="10843"/>
    <x v="9"/>
    <n v="9"/>
    <x v="95"/>
    <s v="CUST132"/>
    <x v="1"/>
    <x v="0"/>
    <s v="Chandigarh"/>
    <x v="2"/>
    <s v="Mouse"/>
    <n v="3"/>
    <n v="4362.3100000000004"/>
    <n v="1095.23"/>
  </r>
  <r>
    <n v="10844"/>
    <x v="0"/>
    <n v="10"/>
    <x v="169"/>
    <s v="CUST346"/>
    <x v="1"/>
    <x v="1"/>
    <s v="Mumbai"/>
    <x v="2"/>
    <s v="Monitor"/>
    <n v="3"/>
    <n v="4492.3999999999996"/>
    <n v="1249.02"/>
  </r>
  <r>
    <n v="10845"/>
    <x v="11"/>
    <n v="6"/>
    <x v="204"/>
    <s v="CUST492"/>
    <x v="2"/>
    <x v="3"/>
    <s v="Bengaluru"/>
    <x v="0"/>
    <s v="Paper"/>
    <n v="2"/>
    <n v="2230.98"/>
    <n v="494.74"/>
  </r>
  <r>
    <n v="10846"/>
    <x v="9"/>
    <n v="9"/>
    <x v="236"/>
    <s v="CUST192"/>
    <x v="0"/>
    <x v="3"/>
    <s v="Chennai"/>
    <x v="0"/>
    <s v="Storage Box"/>
    <n v="2"/>
    <n v="3360.83"/>
    <n v="879.98"/>
  </r>
  <r>
    <n v="10847"/>
    <x v="5"/>
    <n v="7"/>
    <x v="228"/>
    <s v="CUST769"/>
    <x v="0"/>
    <x v="2"/>
    <s v="Kolkata"/>
    <x v="0"/>
    <s v="Paper"/>
    <n v="6"/>
    <n v="1947.35"/>
    <n v="373.05"/>
  </r>
  <r>
    <n v="10848"/>
    <x v="0"/>
    <n v="10"/>
    <x v="144"/>
    <s v="CUST292"/>
    <x v="0"/>
    <x v="1"/>
    <s v="Mumbai"/>
    <x v="1"/>
    <s v="Bookcase"/>
    <n v="2"/>
    <n v="1525.78"/>
    <n v="84.75"/>
  </r>
  <r>
    <n v="10849"/>
    <x v="0"/>
    <n v="10"/>
    <x v="34"/>
    <s v="CUST294"/>
    <x v="2"/>
    <x v="0"/>
    <s v="Chandigarh"/>
    <x v="1"/>
    <s v="Bookcase"/>
    <n v="7"/>
    <n v="2926.89"/>
    <n v="141.38"/>
  </r>
  <r>
    <n v="10850"/>
    <x v="11"/>
    <n v="6"/>
    <x v="328"/>
    <s v="CUST248"/>
    <x v="2"/>
    <x v="1"/>
    <s v="Pune"/>
    <x v="2"/>
    <s v="Mouse"/>
    <n v="4"/>
    <n v="622.27"/>
    <n v="-52.69"/>
  </r>
  <r>
    <n v="10851"/>
    <x v="10"/>
    <n v="12"/>
    <x v="166"/>
    <s v="CUST135"/>
    <x v="0"/>
    <x v="3"/>
    <s v="Chennai"/>
    <x v="0"/>
    <s v="Storage Box"/>
    <n v="3"/>
    <n v="3047.18"/>
    <n v="196.95"/>
  </r>
  <r>
    <n v="10852"/>
    <x v="4"/>
    <n v="4"/>
    <x v="313"/>
    <s v="CUST606"/>
    <x v="2"/>
    <x v="2"/>
    <s v="Bhubaneswar"/>
    <x v="0"/>
    <s v="Paper"/>
    <n v="5"/>
    <n v="4984.5600000000004"/>
    <n v="1081.83"/>
  </r>
  <r>
    <n v="10853"/>
    <x v="3"/>
    <n v="1"/>
    <x v="252"/>
    <s v="CUST986"/>
    <x v="1"/>
    <x v="1"/>
    <s v="Mumbai"/>
    <x v="2"/>
    <s v="Mouse"/>
    <n v="4"/>
    <n v="4255.54"/>
    <n v="1184.4000000000001"/>
  </r>
  <r>
    <n v="10854"/>
    <x v="11"/>
    <n v="6"/>
    <x v="329"/>
    <s v="CUST875"/>
    <x v="2"/>
    <x v="1"/>
    <s v="Pune"/>
    <x v="2"/>
    <s v="Mouse"/>
    <n v="1"/>
    <n v="2784.92"/>
    <n v="306.37"/>
  </r>
  <r>
    <n v="10855"/>
    <x v="5"/>
    <n v="7"/>
    <x v="273"/>
    <s v="CUST199"/>
    <x v="1"/>
    <x v="1"/>
    <s v="Mumbai"/>
    <x v="0"/>
    <s v="Binder"/>
    <n v="5"/>
    <n v="3512.24"/>
    <n v="261.29000000000002"/>
  </r>
  <r>
    <n v="10856"/>
    <x v="9"/>
    <n v="9"/>
    <x v="330"/>
    <s v="CUST398"/>
    <x v="1"/>
    <x v="2"/>
    <s v="Kolkata"/>
    <x v="0"/>
    <s v="Binder"/>
    <n v="8"/>
    <n v="3307.71"/>
    <n v="598.46"/>
  </r>
  <r>
    <n v="10857"/>
    <x v="6"/>
    <n v="3"/>
    <x v="331"/>
    <s v="CUST485"/>
    <x v="2"/>
    <x v="3"/>
    <s v="Bengaluru"/>
    <x v="0"/>
    <s v="Pen"/>
    <n v="1"/>
    <n v="1874.91"/>
    <n v="484.85"/>
  </r>
  <r>
    <n v="10858"/>
    <x v="1"/>
    <n v="11"/>
    <x v="1"/>
    <s v="CUST446"/>
    <x v="0"/>
    <x v="3"/>
    <s v="Bengaluru"/>
    <x v="1"/>
    <s v="Bookcase"/>
    <n v="8"/>
    <n v="980.2"/>
    <n v="-36.159999999999997"/>
  </r>
  <r>
    <n v="10859"/>
    <x v="10"/>
    <n v="12"/>
    <x v="191"/>
    <s v="CUST710"/>
    <x v="1"/>
    <x v="1"/>
    <s v="Mumbai"/>
    <x v="0"/>
    <s v="Storage Box"/>
    <n v="4"/>
    <n v="266.56"/>
    <n v="-19.48"/>
  </r>
  <r>
    <n v="10860"/>
    <x v="6"/>
    <n v="3"/>
    <x v="332"/>
    <s v="CUST184"/>
    <x v="1"/>
    <x v="1"/>
    <s v="Mumbai"/>
    <x v="2"/>
    <s v="Monitor"/>
    <n v="5"/>
    <n v="3198.43"/>
    <n v="514.67999999999995"/>
  </r>
  <r>
    <n v="10861"/>
    <x v="5"/>
    <n v="7"/>
    <x v="230"/>
    <s v="CUST595"/>
    <x v="0"/>
    <x v="1"/>
    <s v="Mumbai"/>
    <x v="1"/>
    <s v="Sofa"/>
    <n v="5"/>
    <n v="3499.26"/>
    <n v="198.39"/>
  </r>
  <r>
    <n v="10862"/>
    <x v="0"/>
    <n v="10"/>
    <x v="36"/>
    <s v="CUST289"/>
    <x v="2"/>
    <x v="1"/>
    <s v="Pune"/>
    <x v="0"/>
    <s v="Pen"/>
    <n v="2"/>
    <n v="1693.62"/>
    <n v="300.67"/>
  </r>
  <r>
    <n v="10863"/>
    <x v="1"/>
    <n v="11"/>
    <x v="51"/>
    <s v="CUST227"/>
    <x v="1"/>
    <x v="0"/>
    <s v="Chandigarh"/>
    <x v="0"/>
    <s v="Storage Box"/>
    <n v="2"/>
    <n v="2642.62"/>
    <n v="447.06"/>
  </r>
  <r>
    <n v="10864"/>
    <x v="6"/>
    <n v="3"/>
    <x v="284"/>
    <s v="CUST688"/>
    <x v="1"/>
    <x v="0"/>
    <s v="Delhi"/>
    <x v="0"/>
    <s v="Pen"/>
    <n v="1"/>
    <n v="2818.14"/>
    <n v="692.59"/>
  </r>
  <r>
    <n v="10865"/>
    <x v="0"/>
    <n v="10"/>
    <x v="78"/>
    <s v="CUST275"/>
    <x v="2"/>
    <x v="3"/>
    <s v="Bengaluru"/>
    <x v="0"/>
    <s v="Binder"/>
    <n v="1"/>
    <n v="514.59"/>
    <n v="11.92"/>
  </r>
  <r>
    <n v="10866"/>
    <x v="10"/>
    <n v="12"/>
    <x v="232"/>
    <s v="CUST420"/>
    <x v="0"/>
    <x v="0"/>
    <s v="Delhi"/>
    <x v="2"/>
    <s v="Laptop"/>
    <n v="5"/>
    <n v="3329.87"/>
    <n v="479.17"/>
  </r>
  <r>
    <n v="10867"/>
    <x v="4"/>
    <n v="4"/>
    <x v="313"/>
    <s v="CUST237"/>
    <x v="0"/>
    <x v="2"/>
    <s v="Kolkata"/>
    <x v="0"/>
    <s v="Paper"/>
    <n v="1"/>
    <n v="1261.79"/>
    <n v="92.45"/>
  </r>
  <r>
    <n v="10868"/>
    <x v="6"/>
    <n v="3"/>
    <x v="261"/>
    <s v="CUST509"/>
    <x v="2"/>
    <x v="3"/>
    <s v="Chennai"/>
    <x v="2"/>
    <s v="Mouse"/>
    <n v="7"/>
    <n v="464.36"/>
    <n v="14.64"/>
  </r>
  <r>
    <n v="10869"/>
    <x v="1"/>
    <n v="11"/>
    <x v="81"/>
    <s v="CUST813"/>
    <x v="0"/>
    <x v="0"/>
    <s v="Chandigarh"/>
    <x v="0"/>
    <s v="Storage Box"/>
    <n v="3"/>
    <n v="2725.93"/>
    <n v="111.11"/>
  </r>
  <r>
    <n v="10870"/>
    <x v="5"/>
    <n v="7"/>
    <x v="50"/>
    <s v="CUST126"/>
    <x v="0"/>
    <x v="3"/>
    <s v="Chennai"/>
    <x v="0"/>
    <s v="Pen"/>
    <n v="7"/>
    <n v="4125.68"/>
    <n v="453.81"/>
  </r>
  <r>
    <n v="10871"/>
    <x v="7"/>
    <n v="2"/>
    <x v="209"/>
    <s v="CUST471"/>
    <x v="2"/>
    <x v="3"/>
    <s v="Bengaluru"/>
    <x v="2"/>
    <s v="Laptop"/>
    <n v="2"/>
    <n v="3451.5"/>
    <n v="490.64"/>
  </r>
  <r>
    <n v="10872"/>
    <x v="7"/>
    <n v="2"/>
    <x v="27"/>
    <s v="CUST901"/>
    <x v="1"/>
    <x v="2"/>
    <s v="Kolkata"/>
    <x v="1"/>
    <s v="Bookcase"/>
    <n v="1"/>
    <n v="579.94000000000005"/>
    <n v="148.79"/>
  </r>
  <r>
    <n v="10873"/>
    <x v="0"/>
    <n v="10"/>
    <x v="134"/>
    <s v="CUST377"/>
    <x v="0"/>
    <x v="3"/>
    <s v="Chennai"/>
    <x v="0"/>
    <s v="Storage Box"/>
    <n v="2"/>
    <n v="2691.9"/>
    <n v="519.44000000000005"/>
  </r>
  <r>
    <n v="10874"/>
    <x v="9"/>
    <n v="9"/>
    <x v="105"/>
    <s v="CUST664"/>
    <x v="0"/>
    <x v="0"/>
    <s v="Delhi"/>
    <x v="1"/>
    <s v="Bookcase"/>
    <n v="7"/>
    <n v="985.3"/>
    <n v="180.04"/>
  </r>
  <r>
    <n v="10875"/>
    <x v="6"/>
    <n v="3"/>
    <x v="319"/>
    <s v="CUST246"/>
    <x v="2"/>
    <x v="1"/>
    <s v="Pune"/>
    <x v="0"/>
    <s v="Pen"/>
    <n v="5"/>
    <n v="146.54"/>
    <n v="10.59"/>
  </r>
  <r>
    <n v="10876"/>
    <x v="8"/>
    <n v="8"/>
    <x v="253"/>
    <s v="CUST462"/>
    <x v="2"/>
    <x v="2"/>
    <s v="Kolkata"/>
    <x v="0"/>
    <s v="Binder"/>
    <n v="4"/>
    <n v="3423.25"/>
    <n v="483.32"/>
  </r>
  <r>
    <n v="10877"/>
    <x v="11"/>
    <n v="6"/>
    <x v="35"/>
    <s v="CUST965"/>
    <x v="1"/>
    <x v="2"/>
    <s v="Bhubaneswar"/>
    <x v="2"/>
    <s v="Mouse"/>
    <n v="5"/>
    <n v="3214.61"/>
    <n v="200.04"/>
  </r>
  <r>
    <n v="10878"/>
    <x v="0"/>
    <n v="10"/>
    <x v="16"/>
    <s v="CUST604"/>
    <x v="1"/>
    <x v="0"/>
    <s v="Delhi"/>
    <x v="0"/>
    <s v="Pen"/>
    <n v="2"/>
    <n v="909.05"/>
    <n v="-15.84"/>
  </r>
  <r>
    <n v="10879"/>
    <x v="3"/>
    <n v="1"/>
    <x v="101"/>
    <s v="CUST831"/>
    <x v="2"/>
    <x v="1"/>
    <s v="Mumbai"/>
    <x v="2"/>
    <s v="Monitor"/>
    <n v="2"/>
    <n v="2086.81"/>
    <n v="334.77"/>
  </r>
  <r>
    <n v="10880"/>
    <x v="9"/>
    <n v="9"/>
    <x v="61"/>
    <s v="CUST330"/>
    <x v="1"/>
    <x v="2"/>
    <s v="Kolkata"/>
    <x v="0"/>
    <s v="Paper"/>
    <n v="8"/>
    <n v="4826.7700000000004"/>
    <n v="967.09"/>
  </r>
  <r>
    <n v="10881"/>
    <x v="7"/>
    <n v="2"/>
    <x v="156"/>
    <s v="CUST446"/>
    <x v="0"/>
    <x v="0"/>
    <s v="Chandigarh"/>
    <x v="1"/>
    <s v="Bookcase"/>
    <n v="1"/>
    <n v="2171.34"/>
    <n v="277.02"/>
  </r>
  <r>
    <n v="10882"/>
    <x v="0"/>
    <n v="10"/>
    <x v="195"/>
    <s v="CUST503"/>
    <x v="1"/>
    <x v="3"/>
    <s v="Bengaluru"/>
    <x v="2"/>
    <s v="Keyboard"/>
    <n v="8"/>
    <n v="1538.37"/>
    <n v="85.06"/>
  </r>
  <r>
    <n v="10883"/>
    <x v="5"/>
    <n v="7"/>
    <x v="5"/>
    <s v="CUST209"/>
    <x v="1"/>
    <x v="2"/>
    <s v="Kolkata"/>
    <x v="2"/>
    <s v="Monitor"/>
    <n v="1"/>
    <n v="1843.15"/>
    <n v="342.93"/>
  </r>
  <r>
    <n v="10884"/>
    <x v="9"/>
    <n v="9"/>
    <x v="17"/>
    <s v="CUST257"/>
    <x v="2"/>
    <x v="2"/>
    <s v="Kolkata"/>
    <x v="2"/>
    <s v="Keyboard"/>
    <n v="1"/>
    <n v="596.55999999999995"/>
    <n v="94.74"/>
  </r>
  <r>
    <n v="10885"/>
    <x v="8"/>
    <n v="8"/>
    <x v="49"/>
    <s v="CUST286"/>
    <x v="0"/>
    <x v="0"/>
    <s v="Chandigarh"/>
    <x v="1"/>
    <s v="Table"/>
    <n v="5"/>
    <n v="1207.8699999999999"/>
    <n v="149.85"/>
  </r>
  <r>
    <n v="10886"/>
    <x v="10"/>
    <n v="12"/>
    <x v="135"/>
    <s v="CUST303"/>
    <x v="1"/>
    <x v="2"/>
    <s v="Kolkata"/>
    <x v="2"/>
    <s v="Monitor"/>
    <n v="3"/>
    <n v="785.38"/>
    <n v="185.38"/>
  </r>
  <r>
    <n v="10887"/>
    <x v="10"/>
    <n v="12"/>
    <x v="276"/>
    <s v="CUST303"/>
    <x v="2"/>
    <x v="3"/>
    <s v="Chennai"/>
    <x v="1"/>
    <s v="Table"/>
    <n v="7"/>
    <n v="2163.17"/>
    <n v="284.12"/>
  </r>
  <r>
    <n v="10888"/>
    <x v="5"/>
    <n v="7"/>
    <x v="333"/>
    <s v="CUST613"/>
    <x v="0"/>
    <x v="2"/>
    <s v="Kolkata"/>
    <x v="2"/>
    <s v="Monitor"/>
    <n v="8"/>
    <n v="4019.12"/>
    <n v="886.2"/>
  </r>
  <r>
    <n v="10889"/>
    <x v="10"/>
    <n v="12"/>
    <x v="113"/>
    <s v="CUST342"/>
    <x v="1"/>
    <x v="1"/>
    <s v="Mumbai"/>
    <x v="1"/>
    <s v="Chair"/>
    <n v="1"/>
    <n v="718.01"/>
    <n v="96.31"/>
  </r>
  <r>
    <n v="10890"/>
    <x v="8"/>
    <n v="8"/>
    <x v="49"/>
    <s v="CUST353"/>
    <x v="0"/>
    <x v="2"/>
    <s v="Bhubaneswar"/>
    <x v="0"/>
    <s v="Paper"/>
    <n v="7"/>
    <n v="2452.9499999999998"/>
    <n v="287.45999999999998"/>
  </r>
  <r>
    <n v="10891"/>
    <x v="8"/>
    <n v="8"/>
    <x v="49"/>
    <s v="CUST303"/>
    <x v="2"/>
    <x v="3"/>
    <s v="Bengaluru"/>
    <x v="1"/>
    <s v="Bookcase"/>
    <n v="2"/>
    <n v="4334.42"/>
    <n v="1269.3699999999999"/>
  </r>
  <r>
    <n v="10892"/>
    <x v="4"/>
    <n v="4"/>
    <x v="165"/>
    <s v="CUST249"/>
    <x v="2"/>
    <x v="0"/>
    <s v="Delhi"/>
    <x v="1"/>
    <s v="Table"/>
    <n v="4"/>
    <n v="690.26"/>
    <n v="76.37"/>
  </r>
  <r>
    <n v="10893"/>
    <x v="4"/>
    <n v="4"/>
    <x v="334"/>
    <s v="CUST327"/>
    <x v="2"/>
    <x v="0"/>
    <s v="Delhi"/>
    <x v="1"/>
    <s v="Chair"/>
    <n v="7"/>
    <n v="2095.7600000000002"/>
    <n v="202.02"/>
  </r>
  <r>
    <n v="10894"/>
    <x v="11"/>
    <n v="6"/>
    <x v="108"/>
    <s v="CUST828"/>
    <x v="2"/>
    <x v="1"/>
    <s v="Pune"/>
    <x v="1"/>
    <s v="Sofa"/>
    <n v="1"/>
    <n v="1591.02"/>
    <n v="158.59"/>
  </r>
  <r>
    <n v="10895"/>
    <x v="2"/>
    <n v="5"/>
    <x v="151"/>
    <s v="CUST583"/>
    <x v="2"/>
    <x v="3"/>
    <s v="Chennai"/>
    <x v="1"/>
    <s v="Table"/>
    <n v="1"/>
    <n v="102.63"/>
    <n v="-10.09"/>
  </r>
  <r>
    <n v="10896"/>
    <x v="3"/>
    <n v="1"/>
    <x v="335"/>
    <s v="CUST799"/>
    <x v="0"/>
    <x v="0"/>
    <s v="Chandigarh"/>
    <x v="1"/>
    <s v="Bookcase"/>
    <n v="8"/>
    <n v="1881.55"/>
    <n v="227.55"/>
  </r>
  <r>
    <n v="10897"/>
    <x v="7"/>
    <n v="2"/>
    <x v="219"/>
    <s v="CUST208"/>
    <x v="1"/>
    <x v="3"/>
    <s v="Chennai"/>
    <x v="2"/>
    <s v="Keyboard"/>
    <n v="6"/>
    <n v="1267.44"/>
    <n v="92.38"/>
  </r>
  <r>
    <n v="10898"/>
    <x v="0"/>
    <n v="10"/>
    <x v="0"/>
    <s v="CUST733"/>
    <x v="2"/>
    <x v="0"/>
    <s v="Delhi"/>
    <x v="0"/>
    <s v="Pen"/>
    <n v="4"/>
    <n v="3552.83"/>
    <n v="992.19"/>
  </r>
  <r>
    <n v="10899"/>
    <x v="0"/>
    <n v="10"/>
    <x v="302"/>
    <s v="CUST455"/>
    <x v="2"/>
    <x v="2"/>
    <s v="Bhubaneswar"/>
    <x v="1"/>
    <s v="Table"/>
    <n v="1"/>
    <n v="726.38"/>
    <n v="41.1"/>
  </r>
  <r>
    <n v="10900"/>
    <x v="3"/>
    <n v="1"/>
    <x v="249"/>
    <s v="CUST270"/>
    <x v="0"/>
    <x v="1"/>
    <s v="Mumbai"/>
    <x v="2"/>
    <s v="Laptop"/>
    <n v="8"/>
    <n v="2153.12"/>
    <n v="558.59"/>
  </r>
  <r>
    <n v="10901"/>
    <x v="5"/>
    <n v="7"/>
    <x v="196"/>
    <s v="CUST606"/>
    <x v="0"/>
    <x v="2"/>
    <s v="Kolkata"/>
    <x v="2"/>
    <s v="Laptop"/>
    <n v="1"/>
    <n v="3992.51"/>
    <n v="818.06"/>
  </r>
  <r>
    <n v="10902"/>
    <x v="6"/>
    <n v="3"/>
    <x v="241"/>
    <s v="CUST685"/>
    <x v="1"/>
    <x v="0"/>
    <s v="Delhi"/>
    <x v="2"/>
    <s v="Monitor"/>
    <n v="7"/>
    <n v="2064.16"/>
    <n v="224.9"/>
  </r>
  <r>
    <n v="10903"/>
    <x v="6"/>
    <n v="3"/>
    <x v="186"/>
    <s v="CUST275"/>
    <x v="1"/>
    <x v="0"/>
    <s v="Chandigarh"/>
    <x v="0"/>
    <s v="Binder"/>
    <n v="5"/>
    <n v="4277.13"/>
    <n v="503.9"/>
  </r>
  <r>
    <n v="10904"/>
    <x v="3"/>
    <n v="1"/>
    <x v="252"/>
    <s v="CUST757"/>
    <x v="1"/>
    <x v="0"/>
    <s v="Delhi"/>
    <x v="2"/>
    <s v="Laptop"/>
    <n v="3"/>
    <n v="4716.03"/>
    <n v="549.98"/>
  </r>
  <r>
    <n v="10905"/>
    <x v="2"/>
    <n v="5"/>
    <x v="80"/>
    <s v="CUST839"/>
    <x v="1"/>
    <x v="3"/>
    <s v="Bengaluru"/>
    <x v="1"/>
    <s v="Bookcase"/>
    <n v="6"/>
    <n v="1690.35"/>
    <n v="396.07"/>
  </r>
  <r>
    <n v="10906"/>
    <x v="4"/>
    <n v="4"/>
    <x v="32"/>
    <s v="CUST362"/>
    <x v="1"/>
    <x v="1"/>
    <s v="Pune"/>
    <x v="2"/>
    <s v="Laptop"/>
    <n v="1"/>
    <n v="4137.2700000000004"/>
    <n v="337.15"/>
  </r>
  <r>
    <n v="10907"/>
    <x v="0"/>
    <n v="10"/>
    <x v="59"/>
    <s v="CUST744"/>
    <x v="2"/>
    <x v="0"/>
    <s v="Chandigarh"/>
    <x v="0"/>
    <s v="Binder"/>
    <n v="4"/>
    <n v="4102.55"/>
    <n v="404.54"/>
  </r>
  <r>
    <n v="10908"/>
    <x v="8"/>
    <n v="8"/>
    <x v="254"/>
    <s v="CUST289"/>
    <x v="1"/>
    <x v="3"/>
    <s v="Chennai"/>
    <x v="1"/>
    <s v="Sofa"/>
    <n v="6"/>
    <n v="826.84"/>
    <n v="90.76"/>
  </r>
  <r>
    <n v="10909"/>
    <x v="5"/>
    <n v="7"/>
    <x v="273"/>
    <s v="CUST803"/>
    <x v="0"/>
    <x v="3"/>
    <s v="Chennai"/>
    <x v="0"/>
    <s v="Pen"/>
    <n v="5"/>
    <n v="203.13"/>
    <n v="0.66"/>
  </r>
  <r>
    <n v="10910"/>
    <x v="7"/>
    <n v="2"/>
    <x v="234"/>
    <s v="CUST841"/>
    <x v="0"/>
    <x v="3"/>
    <s v="Bengaluru"/>
    <x v="1"/>
    <s v="Chair"/>
    <n v="7"/>
    <n v="1301.74"/>
    <n v="263.91000000000003"/>
  </r>
  <r>
    <n v="10911"/>
    <x v="1"/>
    <n v="11"/>
    <x v="159"/>
    <s v="CUST144"/>
    <x v="1"/>
    <x v="3"/>
    <s v="Bengaluru"/>
    <x v="0"/>
    <s v="Paper"/>
    <n v="7"/>
    <n v="1981.55"/>
    <n v="152.22999999999999"/>
  </r>
  <r>
    <n v="10912"/>
    <x v="0"/>
    <n v="10"/>
    <x v="22"/>
    <s v="CUST853"/>
    <x v="2"/>
    <x v="3"/>
    <s v="Bengaluru"/>
    <x v="2"/>
    <s v="Mouse"/>
    <n v="1"/>
    <n v="3982.76"/>
    <n v="129.33000000000001"/>
  </r>
  <r>
    <n v="10913"/>
    <x v="2"/>
    <n v="5"/>
    <x v="149"/>
    <s v="CUST157"/>
    <x v="0"/>
    <x v="0"/>
    <s v="Delhi"/>
    <x v="1"/>
    <s v="Sofa"/>
    <n v="8"/>
    <n v="4095.78"/>
    <n v="471.64"/>
  </r>
  <r>
    <n v="10914"/>
    <x v="8"/>
    <n v="8"/>
    <x v="309"/>
    <s v="CUST245"/>
    <x v="1"/>
    <x v="2"/>
    <s v="Kolkata"/>
    <x v="1"/>
    <s v="Chair"/>
    <n v="2"/>
    <n v="2768.75"/>
    <n v="120.79"/>
  </r>
  <r>
    <n v="10915"/>
    <x v="10"/>
    <n v="12"/>
    <x v="113"/>
    <s v="CUST493"/>
    <x v="0"/>
    <x v="3"/>
    <s v="Bengaluru"/>
    <x v="1"/>
    <s v="Sofa"/>
    <n v="7"/>
    <n v="822.14"/>
    <n v="153.22"/>
  </r>
  <r>
    <n v="10916"/>
    <x v="1"/>
    <n v="11"/>
    <x v="139"/>
    <s v="CUST441"/>
    <x v="1"/>
    <x v="0"/>
    <s v="Chandigarh"/>
    <x v="1"/>
    <s v="Chair"/>
    <n v="4"/>
    <n v="598.51"/>
    <n v="137.22"/>
  </r>
  <r>
    <n v="10917"/>
    <x v="8"/>
    <n v="8"/>
    <x v="185"/>
    <s v="CUST253"/>
    <x v="0"/>
    <x v="2"/>
    <s v="Kolkata"/>
    <x v="1"/>
    <s v="Table"/>
    <n v="3"/>
    <n v="2200.2800000000002"/>
    <n v="276.07"/>
  </r>
  <r>
    <n v="10918"/>
    <x v="10"/>
    <n v="12"/>
    <x v="172"/>
    <s v="CUST917"/>
    <x v="1"/>
    <x v="2"/>
    <s v="Bhubaneswar"/>
    <x v="2"/>
    <s v="Laptop"/>
    <n v="5"/>
    <n v="4589.55"/>
    <n v="895.45"/>
  </r>
  <r>
    <n v="10919"/>
    <x v="9"/>
    <n v="9"/>
    <x v="336"/>
    <s v="CUST934"/>
    <x v="1"/>
    <x v="0"/>
    <s v="Delhi"/>
    <x v="0"/>
    <s v="Pen"/>
    <n v="6"/>
    <n v="824.12"/>
    <n v="53.55"/>
  </r>
  <r>
    <n v="10920"/>
    <x v="5"/>
    <n v="7"/>
    <x v="292"/>
    <s v="CUST461"/>
    <x v="2"/>
    <x v="0"/>
    <s v="Chandigarh"/>
    <x v="0"/>
    <s v="Binder"/>
    <n v="3"/>
    <n v="543.19000000000005"/>
    <n v="144.06"/>
  </r>
  <r>
    <n v="10921"/>
    <x v="5"/>
    <n v="7"/>
    <x v="230"/>
    <s v="CUST528"/>
    <x v="0"/>
    <x v="1"/>
    <s v="Pune"/>
    <x v="2"/>
    <s v="Monitor"/>
    <n v="6"/>
    <n v="777.28"/>
    <n v="130.15"/>
  </r>
  <r>
    <n v="10922"/>
    <x v="10"/>
    <n v="12"/>
    <x v="232"/>
    <s v="CUST930"/>
    <x v="0"/>
    <x v="1"/>
    <s v="Pune"/>
    <x v="0"/>
    <s v="Pen"/>
    <n v="7"/>
    <n v="509.73"/>
    <n v="63.9"/>
  </r>
  <r>
    <n v="10923"/>
    <x v="8"/>
    <n v="8"/>
    <x v="79"/>
    <s v="CUST236"/>
    <x v="1"/>
    <x v="3"/>
    <s v="Bengaluru"/>
    <x v="1"/>
    <s v="Bookcase"/>
    <n v="1"/>
    <n v="1096.07"/>
    <n v="251.64"/>
  </r>
  <r>
    <n v="10924"/>
    <x v="8"/>
    <n v="8"/>
    <x v="54"/>
    <s v="CUST348"/>
    <x v="1"/>
    <x v="0"/>
    <s v="Chandigarh"/>
    <x v="2"/>
    <s v="Mouse"/>
    <n v="5"/>
    <n v="2355.9"/>
    <n v="554.59"/>
  </r>
  <r>
    <n v="10925"/>
    <x v="3"/>
    <n v="1"/>
    <x v="259"/>
    <s v="CUST812"/>
    <x v="2"/>
    <x v="3"/>
    <s v="Bengaluru"/>
    <x v="0"/>
    <s v="Pen"/>
    <n v="2"/>
    <n v="4814.05"/>
    <n v="1050.18"/>
  </r>
  <r>
    <n v="10926"/>
    <x v="6"/>
    <n v="3"/>
    <x v="331"/>
    <s v="CUST474"/>
    <x v="1"/>
    <x v="2"/>
    <s v="Kolkata"/>
    <x v="0"/>
    <s v="Paper"/>
    <n v="2"/>
    <n v="2436.4499999999998"/>
    <n v="467.77"/>
  </r>
  <r>
    <n v="10927"/>
    <x v="9"/>
    <n v="9"/>
    <x v="116"/>
    <s v="CUST815"/>
    <x v="2"/>
    <x v="0"/>
    <s v="Delhi"/>
    <x v="1"/>
    <s v="Chair"/>
    <n v="7"/>
    <n v="833.61"/>
    <n v="5.34"/>
  </r>
  <r>
    <n v="10928"/>
    <x v="6"/>
    <n v="3"/>
    <x v="337"/>
    <s v="CUST161"/>
    <x v="0"/>
    <x v="1"/>
    <s v="Pune"/>
    <x v="0"/>
    <s v="Binder"/>
    <n v="8"/>
    <n v="3928.84"/>
    <n v="850.64"/>
  </r>
  <r>
    <n v="10929"/>
    <x v="8"/>
    <n v="8"/>
    <x v="96"/>
    <s v="CUST667"/>
    <x v="0"/>
    <x v="0"/>
    <s v="Delhi"/>
    <x v="0"/>
    <s v="Pen"/>
    <n v="1"/>
    <n v="2042.31"/>
    <n v="223.58"/>
  </r>
  <r>
    <n v="10930"/>
    <x v="5"/>
    <n v="7"/>
    <x v="327"/>
    <s v="CUST228"/>
    <x v="0"/>
    <x v="2"/>
    <s v="Bhubaneswar"/>
    <x v="0"/>
    <s v="Pen"/>
    <n v="7"/>
    <n v="4664.1099999999997"/>
    <n v="540.97"/>
  </r>
  <r>
    <n v="10931"/>
    <x v="1"/>
    <n v="11"/>
    <x v="170"/>
    <s v="CUST961"/>
    <x v="1"/>
    <x v="3"/>
    <s v="Chennai"/>
    <x v="0"/>
    <s v="Paper"/>
    <n v="4"/>
    <n v="2022.23"/>
    <n v="419.34"/>
  </r>
  <r>
    <n v="10932"/>
    <x v="4"/>
    <n v="4"/>
    <x v="338"/>
    <s v="CUST376"/>
    <x v="1"/>
    <x v="1"/>
    <s v="Pune"/>
    <x v="2"/>
    <s v="Monitor"/>
    <n v="7"/>
    <n v="907.64"/>
    <n v="163"/>
  </r>
  <r>
    <n v="10933"/>
    <x v="4"/>
    <n v="4"/>
    <x v="104"/>
    <s v="CUST711"/>
    <x v="1"/>
    <x v="0"/>
    <s v="Delhi"/>
    <x v="2"/>
    <s v="Keyboard"/>
    <n v="1"/>
    <n v="1273.7"/>
    <n v="104.87"/>
  </r>
  <r>
    <n v="10934"/>
    <x v="3"/>
    <n v="1"/>
    <x v="3"/>
    <s v="CUST677"/>
    <x v="2"/>
    <x v="2"/>
    <s v="Kolkata"/>
    <x v="0"/>
    <s v="Pen"/>
    <n v="1"/>
    <n v="1277.6400000000001"/>
    <n v="34.03"/>
  </r>
  <r>
    <n v="10935"/>
    <x v="5"/>
    <n v="7"/>
    <x v="196"/>
    <s v="CUST612"/>
    <x v="1"/>
    <x v="0"/>
    <s v="Delhi"/>
    <x v="2"/>
    <s v="Laptop"/>
    <n v="5"/>
    <n v="141.55000000000001"/>
    <n v="-8.5399999999999991"/>
  </r>
  <r>
    <n v="10936"/>
    <x v="9"/>
    <n v="9"/>
    <x v="136"/>
    <s v="CUST203"/>
    <x v="0"/>
    <x v="2"/>
    <s v="Bhubaneswar"/>
    <x v="0"/>
    <s v="Binder"/>
    <n v="3"/>
    <n v="3543.02"/>
    <n v="222.68"/>
  </r>
  <r>
    <n v="10937"/>
    <x v="6"/>
    <n v="3"/>
    <x v="193"/>
    <s v="CUST798"/>
    <x v="2"/>
    <x v="3"/>
    <s v="Bengaluru"/>
    <x v="0"/>
    <s v="Storage Box"/>
    <n v="8"/>
    <n v="2973.16"/>
    <n v="752.95"/>
  </r>
  <r>
    <n v="10938"/>
    <x v="6"/>
    <n v="3"/>
    <x v="326"/>
    <s v="CUST613"/>
    <x v="0"/>
    <x v="0"/>
    <s v="Delhi"/>
    <x v="0"/>
    <s v="Pen"/>
    <n v="4"/>
    <n v="4056.63"/>
    <n v="789.43"/>
  </r>
  <r>
    <n v="10939"/>
    <x v="10"/>
    <n v="12"/>
    <x v="172"/>
    <s v="CUST892"/>
    <x v="0"/>
    <x v="2"/>
    <s v="Bhubaneswar"/>
    <x v="1"/>
    <s v="Bookcase"/>
    <n v="5"/>
    <n v="1865.55"/>
    <n v="449.39"/>
  </r>
  <r>
    <n v="10940"/>
    <x v="3"/>
    <n v="1"/>
    <x v="272"/>
    <s v="CUST246"/>
    <x v="2"/>
    <x v="1"/>
    <s v="Mumbai"/>
    <x v="1"/>
    <s v="Chair"/>
    <n v="3"/>
    <n v="2877.81"/>
    <n v="849.58"/>
  </r>
  <r>
    <n v="10941"/>
    <x v="0"/>
    <n v="10"/>
    <x v="99"/>
    <s v="CUST472"/>
    <x v="2"/>
    <x v="0"/>
    <s v="Chandigarh"/>
    <x v="1"/>
    <s v="Sofa"/>
    <n v="6"/>
    <n v="931.62"/>
    <n v="108.61"/>
  </r>
  <r>
    <n v="10942"/>
    <x v="8"/>
    <n v="8"/>
    <x v="73"/>
    <s v="CUST765"/>
    <x v="1"/>
    <x v="0"/>
    <s v="Delhi"/>
    <x v="1"/>
    <s v="Sofa"/>
    <n v="5"/>
    <n v="4932.1000000000004"/>
    <n v="1376.79"/>
  </r>
  <r>
    <n v="10943"/>
    <x v="6"/>
    <n v="3"/>
    <x v="29"/>
    <s v="CUST551"/>
    <x v="2"/>
    <x v="0"/>
    <s v="Chandigarh"/>
    <x v="1"/>
    <s v="Bookcase"/>
    <n v="5"/>
    <n v="2064.6"/>
    <n v="453.86"/>
  </r>
  <r>
    <n v="10944"/>
    <x v="1"/>
    <n v="11"/>
    <x v="146"/>
    <s v="CUST759"/>
    <x v="1"/>
    <x v="2"/>
    <s v="Bhubaneswar"/>
    <x v="1"/>
    <s v="Sofa"/>
    <n v="8"/>
    <n v="1387.85"/>
    <n v="304.92"/>
  </r>
  <r>
    <n v="10945"/>
    <x v="4"/>
    <n v="4"/>
    <x v="317"/>
    <s v="CUST497"/>
    <x v="2"/>
    <x v="3"/>
    <s v="Bengaluru"/>
    <x v="1"/>
    <s v="Chair"/>
    <n v="5"/>
    <n v="1941.53"/>
    <n v="288.43"/>
  </r>
  <r>
    <n v="10946"/>
    <x v="5"/>
    <n v="7"/>
    <x v="196"/>
    <s v="CUST886"/>
    <x v="2"/>
    <x v="0"/>
    <s v="Chandigarh"/>
    <x v="2"/>
    <s v="Monitor"/>
    <n v="8"/>
    <n v="634.67999999999995"/>
    <n v="49.5"/>
  </r>
  <r>
    <n v="10947"/>
    <x v="9"/>
    <n v="9"/>
    <x v="40"/>
    <s v="CUST217"/>
    <x v="2"/>
    <x v="3"/>
    <s v="Chennai"/>
    <x v="2"/>
    <s v="Laptop"/>
    <n v="6"/>
    <n v="1777.88"/>
    <n v="336.25"/>
  </r>
  <r>
    <n v="10948"/>
    <x v="1"/>
    <n v="11"/>
    <x v="224"/>
    <s v="CUST892"/>
    <x v="2"/>
    <x v="1"/>
    <s v="Mumbai"/>
    <x v="0"/>
    <s v="Pen"/>
    <n v="8"/>
    <n v="813.02"/>
    <n v="27.22"/>
  </r>
  <r>
    <n v="10949"/>
    <x v="10"/>
    <n v="12"/>
    <x v="113"/>
    <s v="CUST533"/>
    <x v="2"/>
    <x v="0"/>
    <s v="Chandigarh"/>
    <x v="2"/>
    <s v="Monitor"/>
    <n v="4"/>
    <n v="364.98"/>
    <n v="2.19"/>
  </r>
  <r>
    <n v="10950"/>
    <x v="8"/>
    <n v="8"/>
    <x v="239"/>
    <s v="CUST992"/>
    <x v="2"/>
    <x v="2"/>
    <s v="Kolkata"/>
    <x v="1"/>
    <s v="Table"/>
    <n v="2"/>
    <n v="1442.14"/>
    <n v="14.19"/>
  </r>
  <r>
    <n v="10951"/>
    <x v="11"/>
    <n v="6"/>
    <x v="339"/>
    <s v="CUST268"/>
    <x v="1"/>
    <x v="3"/>
    <s v="Chennai"/>
    <x v="1"/>
    <s v="Chair"/>
    <n v="2"/>
    <n v="4485.29"/>
    <n v="608.45000000000005"/>
  </r>
  <r>
    <n v="10952"/>
    <x v="0"/>
    <n v="10"/>
    <x v="121"/>
    <s v="CUST498"/>
    <x v="1"/>
    <x v="2"/>
    <s v="Bhubaneswar"/>
    <x v="2"/>
    <s v="Monitor"/>
    <n v="3"/>
    <n v="4831.3900000000003"/>
    <n v="677.88"/>
  </r>
  <r>
    <n v="10953"/>
    <x v="11"/>
    <n v="6"/>
    <x v="283"/>
    <s v="CUST114"/>
    <x v="1"/>
    <x v="3"/>
    <s v="Bengaluru"/>
    <x v="0"/>
    <s v="Pen"/>
    <n v="6"/>
    <n v="3353.91"/>
    <n v="784.75"/>
  </r>
  <r>
    <n v="10954"/>
    <x v="3"/>
    <n v="1"/>
    <x v="21"/>
    <s v="CUST561"/>
    <x v="1"/>
    <x v="1"/>
    <s v="Mumbai"/>
    <x v="2"/>
    <s v="Keyboard"/>
    <n v="2"/>
    <n v="3980.88"/>
    <n v="843.49"/>
  </r>
  <r>
    <n v="10955"/>
    <x v="5"/>
    <n v="7"/>
    <x v="327"/>
    <s v="CUST321"/>
    <x v="2"/>
    <x v="1"/>
    <s v="Mumbai"/>
    <x v="1"/>
    <s v="Table"/>
    <n v="4"/>
    <n v="2158.86"/>
    <n v="386.06"/>
  </r>
  <r>
    <n v="10956"/>
    <x v="9"/>
    <n v="9"/>
    <x v="136"/>
    <s v="CUST938"/>
    <x v="1"/>
    <x v="3"/>
    <s v="Bengaluru"/>
    <x v="0"/>
    <s v="Paper"/>
    <n v="6"/>
    <n v="4087.52"/>
    <n v="131.26"/>
  </r>
  <r>
    <n v="10957"/>
    <x v="11"/>
    <n v="6"/>
    <x v="44"/>
    <s v="CUST216"/>
    <x v="1"/>
    <x v="1"/>
    <s v="Pune"/>
    <x v="2"/>
    <s v="Monitor"/>
    <n v="6"/>
    <n v="1825.83"/>
    <n v="286.58999999999997"/>
  </r>
  <r>
    <n v="10958"/>
    <x v="10"/>
    <n v="12"/>
    <x v="191"/>
    <s v="CUST796"/>
    <x v="2"/>
    <x v="1"/>
    <s v="Pune"/>
    <x v="2"/>
    <s v="Mouse"/>
    <n v="3"/>
    <n v="2759.54"/>
    <n v="316.7"/>
  </r>
  <r>
    <n v="10959"/>
    <x v="9"/>
    <n v="9"/>
    <x v="278"/>
    <s v="CUST867"/>
    <x v="0"/>
    <x v="2"/>
    <s v="Kolkata"/>
    <x v="1"/>
    <s v="Chair"/>
    <n v="2"/>
    <n v="3283.16"/>
    <n v="628.85"/>
  </r>
  <r>
    <n v="10960"/>
    <x v="0"/>
    <n v="10"/>
    <x v="134"/>
    <s v="CUST490"/>
    <x v="1"/>
    <x v="0"/>
    <s v="Chandigarh"/>
    <x v="0"/>
    <s v="Paper"/>
    <n v="5"/>
    <n v="4273.3599999999997"/>
    <n v="362.33"/>
  </r>
  <r>
    <n v="10961"/>
    <x v="5"/>
    <n v="7"/>
    <x v="265"/>
    <s v="CUST107"/>
    <x v="2"/>
    <x v="3"/>
    <s v="Chennai"/>
    <x v="1"/>
    <s v="Bookcase"/>
    <n v="8"/>
    <n v="2123.38"/>
    <n v="471.3"/>
  </r>
  <r>
    <n v="10962"/>
    <x v="2"/>
    <n v="5"/>
    <x v="58"/>
    <s v="CUST104"/>
    <x v="2"/>
    <x v="3"/>
    <s v="Chennai"/>
    <x v="2"/>
    <s v="Keyboard"/>
    <n v="5"/>
    <n v="4208.57"/>
    <n v="1005.56"/>
  </r>
  <r>
    <n v="10963"/>
    <x v="11"/>
    <n v="6"/>
    <x v="283"/>
    <s v="CUST443"/>
    <x v="1"/>
    <x v="0"/>
    <s v="Delhi"/>
    <x v="1"/>
    <s v="Table"/>
    <n v="6"/>
    <n v="4219.7700000000004"/>
    <n v="684.34"/>
  </r>
  <r>
    <n v="10964"/>
    <x v="0"/>
    <n v="10"/>
    <x v="99"/>
    <s v="CUST539"/>
    <x v="1"/>
    <x v="1"/>
    <s v="Mumbai"/>
    <x v="0"/>
    <s v="Storage Box"/>
    <n v="4"/>
    <n v="3119.71"/>
    <n v="457.59"/>
  </r>
  <r>
    <n v="10965"/>
    <x v="9"/>
    <n v="9"/>
    <x v="95"/>
    <s v="CUST221"/>
    <x v="0"/>
    <x v="1"/>
    <s v="Mumbai"/>
    <x v="2"/>
    <s v="Keyboard"/>
    <n v="3"/>
    <n v="2243.27"/>
    <n v="87.89"/>
  </r>
  <r>
    <n v="10966"/>
    <x v="1"/>
    <n v="11"/>
    <x v="311"/>
    <s v="CUST888"/>
    <x v="0"/>
    <x v="1"/>
    <s v="Pune"/>
    <x v="0"/>
    <s v="Pen"/>
    <n v="6"/>
    <n v="1098.44"/>
    <n v="36.79"/>
  </r>
  <r>
    <n v="10967"/>
    <x v="1"/>
    <n v="11"/>
    <x v="81"/>
    <s v="CUST746"/>
    <x v="2"/>
    <x v="3"/>
    <s v="Bengaluru"/>
    <x v="0"/>
    <s v="Paper"/>
    <n v="7"/>
    <n v="223.92"/>
    <n v="-46.05"/>
  </r>
  <r>
    <n v="10968"/>
    <x v="5"/>
    <n v="7"/>
    <x v="327"/>
    <s v="CUST888"/>
    <x v="2"/>
    <x v="3"/>
    <s v="Bengaluru"/>
    <x v="0"/>
    <s v="Pen"/>
    <n v="5"/>
    <n v="1049.76"/>
    <n v="200.43"/>
  </r>
  <r>
    <n v="10969"/>
    <x v="8"/>
    <n v="8"/>
    <x v="254"/>
    <s v="CUST710"/>
    <x v="1"/>
    <x v="0"/>
    <s v="Chandigarh"/>
    <x v="1"/>
    <s v="Table"/>
    <n v="1"/>
    <n v="3228.09"/>
    <n v="618.61"/>
  </r>
  <r>
    <n v="10970"/>
    <x v="4"/>
    <n v="4"/>
    <x v="168"/>
    <s v="CUST500"/>
    <x v="1"/>
    <x v="0"/>
    <s v="Delhi"/>
    <x v="2"/>
    <s v="Keyboard"/>
    <n v="3"/>
    <n v="554.61"/>
    <n v="60.12"/>
  </r>
  <r>
    <n v="10971"/>
    <x v="5"/>
    <n v="7"/>
    <x v="147"/>
    <s v="CUST421"/>
    <x v="0"/>
    <x v="1"/>
    <s v="Mumbai"/>
    <x v="2"/>
    <s v="Laptop"/>
    <n v="8"/>
    <n v="4800.16"/>
    <n v="262.85000000000002"/>
  </r>
  <r>
    <n v="10972"/>
    <x v="3"/>
    <n v="1"/>
    <x v="158"/>
    <s v="CUST220"/>
    <x v="2"/>
    <x v="1"/>
    <s v="Mumbai"/>
    <x v="1"/>
    <s v="Bookcase"/>
    <n v="1"/>
    <n v="4527.83"/>
    <n v="909.98"/>
  </r>
  <r>
    <n v="10973"/>
    <x v="1"/>
    <n v="11"/>
    <x v="155"/>
    <s v="CUST130"/>
    <x v="0"/>
    <x v="2"/>
    <s v="Bhubaneswar"/>
    <x v="0"/>
    <s v="Paper"/>
    <n v="3"/>
    <n v="2656.57"/>
    <n v="289.69"/>
  </r>
  <r>
    <n v="10974"/>
    <x v="7"/>
    <n v="2"/>
    <x v="197"/>
    <s v="CUST845"/>
    <x v="0"/>
    <x v="0"/>
    <s v="Delhi"/>
    <x v="1"/>
    <s v="Bookcase"/>
    <n v="2"/>
    <n v="4503"/>
    <n v="244.5"/>
  </r>
  <r>
    <n v="10975"/>
    <x v="2"/>
    <n v="5"/>
    <x v="126"/>
    <s v="CUST578"/>
    <x v="0"/>
    <x v="3"/>
    <s v="Chennai"/>
    <x v="2"/>
    <s v="Monitor"/>
    <n v="4"/>
    <n v="4770.82"/>
    <n v="599.11"/>
  </r>
  <r>
    <n v="10976"/>
    <x v="2"/>
    <n v="5"/>
    <x v="316"/>
    <s v="CUST502"/>
    <x v="1"/>
    <x v="1"/>
    <s v="Pune"/>
    <x v="0"/>
    <s v="Storage Box"/>
    <n v="4"/>
    <n v="1325.46"/>
    <n v="47.24"/>
  </r>
  <r>
    <n v="10977"/>
    <x v="11"/>
    <n v="6"/>
    <x v="138"/>
    <s v="CUST737"/>
    <x v="1"/>
    <x v="2"/>
    <s v="Kolkata"/>
    <x v="1"/>
    <s v="Sofa"/>
    <n v="7"/>
    <n v="4426"/>
    <n v="615.46"/>
  </r>
  <r>
    <n v="10978"/>
    <x v="3"/>
    <n v="1"/>
    <x v="217"/>
    <s v="CUST623"/>
    <x v="2"/>
    <x v="1"/>
    <s v="Pune"/>
    <x v="1"/>
    <s v="Bookcase"/>
    <n v="6"/>
    <n v="4499.68"/>
    <n v="1101.74"/>
  </r>
  <r>
    <n v="10979"/>
    <x v="4"/>
    <n v="4"/>
    <x v="323"/>
    <s v="CUST466"/>
    <x v="1"/>
    <x v="1"/>
    <s v="Pune"/>
    <x v="0"/>
    <s v="Binder"/>
    <n v="7"/>
    <n v="246.71"/>
    <n v="-8.84"/>
  </r>
  <r>
    <n v="10980"/>
    <x v="10"/>
    <n v="12"/>
    <x v="191"/>
    <s v="CUST111"/>
    <x v="0"/>
    <x v="0"/>
    <s v="Delhi"/>
    <x v="0"/>
    <s v="Binder"/>
    <n v="6"/>
    <n v="810.69"/>
    <n v="103.3"/>
  </r>
  <r>
    <n v="10981"/>
    <x v="9"/>
    <n v="9"/>
    <x v="115"/>
    <s v="CUST322"/>
    <x v="1"/>
    <x v="2"/>
    <s v="Kolkata"/>
    <x v="2"/>
    <s v="Keyboard"/>
    <n v="4"/>
    <n v="2852.04"/>
    <n v="357.35"/>
  </r>
  <r>
    <n v="10982"/>
    <x v="9"/>
    <n v="9"/>
    <x v="68"/>
    <s v="CUST610"/>
    <x v="1"/>
    <x v="2"/>
    <s v="Kolkata"/>
    <x v="0"/>
    <s v="Storage Box"/>
    <n v="7"/>
    <n v="1657.14"/>
    <n v="195.77"/>
  </r>
  <r>
    <n v="10983"/>
    <x v="0"/>
    <n v="10"/>
    <x v="99"/>
    <s v="CUST121"/>
    <x v="2"/>
    <x v="2"/>
    <s v="Bhubaneswar"/>
    <x v="1"/>
    <s v="Chair"/>
    <n v="8"/>
    <n v="938.58"/>
    <n v="85.34"/>
  </r>
  <r>
    <n v="10984"/>
    <x v="9"/>
    <n v="9"/>
    <x v="116"/>
    <s v="CUST140"/>
    <x v="2"/>
    <x v="0"/>
    <s v="Delhi"/>
    <x v="2"/>
    <s v="Keyboard"/>
    <n v="3"/>
    <n v="4224.05"/>
    <n v="546.99"/>
  </r>
  <r>
    <n v="10985"/>
    <x v="5"/>
    <n v="7"/>
    <x v="333"/>
    <s v="CUST181"/>
    <x v="0"/>
    <x v="0"/>
    <s v="Delhi"/>
    <x v="2"/>
    <s v="Laptop"/>
    <n v="7"/>
    <n v="3643.94"/>
    <n v="357.05"/>
  </r>
  <r>
    <n v="10986"/>
    <x v="1"/>
    <n v="11"/>
    <x v="137"/>
    <s v="CUST224"/>
    <x v="2"/>
    <x v="2"/>
    <s v="Bhubaneswar"/>
    <x v="0"/>
    <s v="Paper"/>
    <n v="7"/>
    <n v="1562.37"/>
    <n v="413.11"/>
  </r>
  <r>
    <n v="10987"/>
    <x v="8"/>
    <n v="8"/>
    <x v="340"/>
    <s v="CUST331"/>
    <x v="1"/>
    <x v="0"/>
    <s v="Delhi"/>
    <x v="1"/>
    <s v="Chair"/>
    <n v="1"/>
    <n v="779.8"/>
    <n v="146.54"/>
  </r>
  <r>
    <n v="10988"/>
    <x v="3"/>
    <n v="1"/>
    <x v="3"/>
    <s v="CUST213"/>
    <x v="1"/>
    <x v="0"/>
    <s v="Delhi"/>
    <x v="0"/>
    <s v="Binder"/>
    <n v="1"/>
    <n v="4677.1400000000003"/>
    <n v="1222.8499999999999"/>
  </r>
  <r>
    <n v="10989"/>
    <x v="8"/>
    <n v="8"/>
    <x v="254"/>
    <s v="CUST222"/>
    <x v="1"/>
    <x v="2"/>
    <s v="Kolkata"/>
    <x v="2"/>
    <s v="Keyboard"/>
    <n v="7"/>
    <n v="1422.57"/>
    <n v="117.93"/>
  </r>
  <r>
    <n v="10990"/>
    <x v="9"/>
    <n v="9"/>
    <x v="336"/>
    <s v="CUST777"/>
    <x v="2"/>
    <x v="2"/>
    <s v="Kolkata"/>
    <x v="0"/>
    <s v="Storage Box"/>
    <n v="8"/>
    <n v="3374.35"/>
    <n v="584.82000000000005"/>
  </r>
  <r>
    <n v="10991"/>
    <x v="11"/>
    <n v="6"/>
    <x v="268"/>
    <s v="CUST671"/>
    <x v="1"/>
    <x v="2"/>
    <s v="Bhubaneswar"/>
    <x v="0"/>
    <s v="Storage Box"/>
    <n v="4"/>
    <n v="549.82000000000005"/>
    <n v="61.67"/>
  </r>
  <r>
    <n v="10992"/>
    <x v="5"/>
    <n v="7"/>
    <x v="292"/>
    <s v="CUST292"/>
    <x v="2"/>
    <x v="3"/>
    <s v="Bengaluru"/>
    <x v="1"/>
    <s v="Sofa"/>
    <n v="1"/>
    <n v="1141.1300000000001"/>
    <n v="201.52"/>
  </r>
  <r>
    <n v="10993"/>
    <x v="7"/>
    <n v="2"/>
    <x v="178"/>
    <s v="CUST233"/>
    <x v="1"/>
    <x v="0"/>
    <s v="Chandigarh"/>
    <x v="1"/>
    <s v="Bookcase"/>
    <n v="5"/>
    <n v="3571.71"/>
    <n v="678.93"/>
  </r>
  <r>
    <n v="10994"/>
    <x v="11"/>
    <n v="6"/>
    <x v="145"/>
    <s v="CUST990"/>
    <x v="0"/>
    <x v="2"/>
    <s v="Bhubaneswar"/>
    <x v="2"/>
    <s v="Mouse"/>
    <n v="7"/>
    <n v="1020.97"/>
    <n v="105.55"/>
  </r>
  <r>
    <n v="10995"/>
    <x v="3"/>
    <n v="1"/>
    <x v="318"/>
    <s v="CUST587"/>
    <x v="0"/>
    <x v="0"/>
    <s v="Delhi"/>
    <x v="2"/>
    <s v="Laptop"/>
    <n v="2"/>
    <n v="1278.76"/>
    <n v="331.07"/>
  </r>
  <r>
    <n v="10996"/>
    <x v="8"/>
    <n v="8"/>
    <x v="103"/>
    <s v="CUST620"/>
    <x v="2"/>
    <x v="1"/>
    <s v="Pune"/>
    <x v="2"/>
    <s v="Laptop"/>
    <n v="2"/>
    <n v="1836.69"/>
    <n v="149.52000000000001"/>
  </r>
  <r>
    <n v="10997"/>
    <x v="4"/>
    <n v="4"/>
    <x v="338"/>
    <s v="CUST401"/>
    <x v="1"/>
    <x v="0"/>
    <s v="Chandigarh"/>
    <x v="2"/>
    <s v="Keyboard"/>
    <n v="2"/>
    <n v="340.76"/>
    <n v="-43.18"/>
  </r>
  <r>
    <n v="10998"/>
    <x v="2"/>
    <n v="5"/>
    <x v="263"/>
    <s v="CUST213"/>
    <x v="1"/>
    <x v="1"/>
    <s v="Mumbai"/>
    <x v="0"/>
    <s v="Binder"/>
    <n v="8"/>
    <n v="2641.23"/>
    <n v="199.17"/>
  </r>
  <r>
    <n v="10999"/>
    <x v="1"/>
    <n v="11"/>
    <x v="146"/>
    <s v="CUST816"/>
    <x v="0"/>
    <x v="0"/>
    <s v="Delhi"/>
    <x v="1"/>
    <s v="Bookcase"/>
    <n v="4"/>
    <n v="422.65"/>
    <n v="9.16"/>
  </r>
  <r>
    <n v="11000"/>
    <x v="4"/>
    <n v="4"/>
    <x v="180"/>
    <s v="CUST275"/>
    <x v="1"/>
    <x v="1"/>
    <s v="Pune"/>
    <x v="2"/>
    <s v="Laptop"/>
    <n v="4"/>
    <n v="3696.23"/>
    <n v="970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M3:N7" firstHeaderRow="1" firstDataRow="1" firstDataCol="1"/>
  <pivotFields count="14">
    <pivotField showAll="0"/>
    <pivotField showAl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dataField="1"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J3:K16" firstHeaderRow="1" firstDataRow="1" firstDataCol="1"/>
  <pivotFields count="14">
    <pivotField showAll="0"/>
    <pivotField axis="axisRow" showAll="0" defaultSubtotal="0">
      <items count="12">
        <item x="3"/>
        <item x="0"/>
        <item x="1"/>
        <item x="2"/>
        <item x="4"/>
        <item x="5"/>
        <item x="6"/>
        <item x="7"/>
        <item x="8"/>
        <item x="9"/>
        <item x="10"/>
        <item x="11"/>
      </items>
    </pivotField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1" baseField="0" baseItem="0"/>
  </dataFields>
  <formats count="2">
    <format dxfId="1">
      <pivotArea field="3" type="button" dataOnly="0" labelOnly="1" outline="0"/>
    </format>
    <format dxfId="0">
      <pivotArea dataOnly="0" labelOnly="1" grandRow="1" outline="0" fieldPosition="0"/>
    </format>
  </formats>
  <chartFormats count="4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G3:H8" firstHeaderRow="1" firstDataRow="1" firstDataCol="1"/>
  <pivotFields count="14">
    <pivotField showAll="0"/>
    <pivotField showAll="0" defaultSubtota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4" baseItem="0" numFmtId="164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3:X4" firstHeaderRow="1" firstDataRow="1" firstDataCol="0"/>
  <pivotFields count="14">
    <pivotField showAll="0"/>
    <pivotField showAl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64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Items count="1">
    <i/>
  </rowItems>
  <colItems count="1">
    <i/>
  </colItem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P3:Q7" firstHeaderRow="1" firstDataRow="1" firstDataCol="1"/>
  <pivotFields count="14">
    <pivotField showAll="0"/>
    <pivotField showAl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numFmtId="164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0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3:V4" firstHeaderRow="1" firstDataRow="1" firstDataCol="0"/>
  <pivotFields count="14">
    <pivotField showAll="0"/>
    <pivotField showAl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Items count="1">
    <i/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S3:T7" firstHeaderRow="1" firstDataRow="1" firstDataCol="1"/>
  <pivotFields count="14">
    <pivotField showAll="0"/>
    <pivotField showAl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chartFormats count="4"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D3:E7" firstHeaderRow="1" firstDataRow="1" firstDataCol="1"/>
  <pivotFields count="14">
    <pivotField showAll="0"/>
    <pivotField showAll="0" defaultSubtotal="0"/>
    <pivotField showAll="0" defaultSubtotal="0"/>
    <pivotField showAll="0">
      <items count="342">
        <item x="266"/>
        <item x="21"/>
        <item x="41"/>
        <item x="101"/>
        <item x="183"/>
        <item x="301"/>
        <item x="335"/>
        <item x="272"/>
        <item x="288"/>
        <item x="245"/>
        <item x="46"/>
        <item x="249"/>
        <item x="279"/>
        <item x="259"/>
        <item x="318"/>
        <item x="271"/>
        <item x="158"/>
        <item x="217"/>
        <item x="152"/>
        <item x="33"/>
        <item x="31"/>
        <item x="109"/>
        <item x="3"/>
        <item x="294"/>
        <item x="281"/>
        <item x="252"/>
        <item x="64"/>
        <item x="198"/>
        <item x="13"/>
        <item x="157"/>
        <item x="312"/>
        <item x="94"/>
        <item x="293"/>
        <item x="97"/>
        <item x="23"/>
        <item x="192"/>
        <item x="25"/>
        <item x="324"/>
        <item x="267"/>
        <item x="102"/>
        <item x="197"/>
        <item x="177"/>
        <item x="219"/>
        <item x="209"/>
        <item x="9"/>
        <item x="20"/>
        <item x="18"/>
        <item x="65"/>
        <item x="234"/>
        <item x="27"/>
        <item x="178"/>
        <item x="210"/>
        <item x="262"/>
        <item x="156"/>
        <item x="280"/>
        <item x="332"/>
        <item x="186"/>
        <item x="60"/>
        <item x="295"/>
        <item x="319"/>
        <item x="284"/>
        <item x="29"/>
        <item x="87"/>
        <item x="42"/>
        <item x="123"/>
        <item x="150"/>
        <item x="8"/>
        <item x="179"/>
        <item x="143"/>
        <item x="246"/>
        <item x="331"/>
        <item x="30"/>
        <item x="193"/>
        <item x="213"/>
        <item x="337"/>
        <item x="132"/>
        <item x="241"/>
        <item x="326"/>
        <item x="261"/>
        <item x="67"/>
        <item x="274"/>
        <item x="315"/>
        <item x="225"/>
        <item x="131"/>
        <item x="38"/>
        <item x="32"/>
        <item x="226"/>
        <item x="256"/>
        <item x="323"/>
        <item x="161"/>
        <item x="165"/>
        <item x="338"/>
        <item x="321"/>
        <item x="221"/>
        <item x="297"/>
        <item x="275"/>
        <item x="160"/>
        <item x="180"/>
        <item x="168"/>
        <item x="229"/>
        <item x="104"/>
        <item x="313"/>
        <item x="52"/>
        <item x="86"/>
        <item x="118"/>
        <item x="317"/>
        <item x="89"/>
        <item x="4"/>
        <item x="251"/>
        <item x="334"/>
        <item x="93"/>
        <item x="233"/>
        <item x="194"/>
        <item x="58"/>
        <item x="149"/>
        <item x="26"/>
        <item x="260"/>
        <item x="263"/>
        <item x="248"/>
        <item x="112"/>
        <item x="199"/>
        <item x="163"/>
        <item x="43"/>
        <item x="211"/>
        <item x="11"/>
        <item x="80"/>
        <item x="238"/>
        <item x="216"/>
        <item x="55"/>
        <item x="320"/>
        <item x="62"/>
        <item x="223"/>
        <item x="2"/>
        <item x="316"/>
        <item x="111"/>
        <item x="285"/>
        <item x="151"/>
        <item x="84"/>
        <item x="231"/>
        <item x="214"/>
        <item x="126"/>
        <item x="290"/>
        <item x="339"/>
        <item x="37"/>
        <item x="85"/>
        <item x="202"/>
        <item x="244"/>
        <item x="145"/>
        <item x="107"/>
        <item x="15"/>
        <item x="35"/>
        <item x="328"/>
        <item x="283"/>
        <item x="138"/>
        <item x="188"/>
        <item x="189"/>
        <item x="304"/>
        <item x="204"/>
        <item x="98"/>
        <item x="124"/>
        <item x="122"/>
        <item x="44"/>
        <item x="310"/>
        <item x="57"/>
        <item x="110"/>
        <item x="243"/>
        <item x="329"/>
        <item x="108"/>
        <item x="268"/>
        <item x="5"/>
        <item x="291"/>
        <item x="153"/>
        <item x="325"/>
        <item x="200"/>
        <item x="129"/>
        <item x="125"/>
        <item x="250"/>
        <item x="220"/>
        <item x="82"/>
        <item x="147"/>
        <item x="327"/>
        <item x="50"/>
        <item x="228"/>
        <item x="230"/>
        <item x="292"/>
        <item x="215"/>
        <item x="299"/>
        <item x="273"/>
        <item x="265"/>
        <item x="196"/>
        <item x="333"/>
        <item x="201"/>
        <item x="72"/>
        <item x="48"/>
        <item x="45"/>
        <item x="66"/>
        <item x="71"/>
        <item x="237"/>
        <item x="309"/>
        <item x="162"/>
        <item x="47"/>
        <item x="54"/>
        <item x="218"/>
        <item x="185"/>
        <item x="286"/>
        <item x="49"/>
        <item x="103"/>
        <item x="171"/>
        <item x="174"/>
        <item x="340"/>
        <item x="253"/>
        <item x="63"/>
        <item x="73"/>
        <item x="127"/>
        <item x="287"/>
        <item x="314"/>
        <item x="56"/>
        <item x="239"/>
        <item x="96"/>
        <item x="76"/>
        <item x="120"/>
        <item x="254"/>
        <item x="75"/>
        <item x="306"/>
        <item x="10"/>
        <item x="296"/>
        <item x="206"/>
        <item x="79"/>
        <item x="40"/>
        <item x="336"/>
        <item x="133"/>
        <item x="255"/>
        <item x="330"/>
        <item x="114"/>
        <item x="181"/>
        <item x="236"/>
        <item x="68"/>
        <item x="141"/>
        <item x="278"/>
        <item x="140"/>
        <item x="88"/>
        <item x="136"/>
        <item x="95"/>
        <item x="77"/>
        <item x="303"/>
        <item x="182"/>
        <item x="205"/>
        <item x="17"/>
        <item x="117"/>
        <item x="269"/>
        <item x="203"/>
        <item x="24"/>
        <item x="61"/>
        <item x="115"/>
        <item x="116"/>
        <item x="12"/>
        <item x="105"/>
        <item x="34"/>
        <item x="36"/>
        <item x="169"/>
        <item x="22"/>
        <item x="78"/>
        <item x="0"/>
        <item x="142"/>
        <item x="134"/>
        <item x="16"/>
        <item x="282"/>
        <item x="148"/>
        <item x="302"/>
        <item x="130"/>
        <item x="175"/>
        <item x="184"/>
        <item x="7"/>
        <item x="195"/>
        <item x="121"/>
        <item x="100"/>
        <item x="69"/>
        <item x="99"/>
        <item x="59"/>
        <item x="298"/>
        <item x="227"/>
        <item x="307"/>
        <item x="207"/>
        <item x="144"/>
        <item x="212"/>
        <item x="173"/>
        <item x="176"/>
        <item x="224"/>
        <item x="305"/>
        <item x="170"/>
        <item x="155"/>
        <item x="119"/>
        <item x="91"/>
        <item x="208"/>
        <item x="257"/>
        <item x="139"/>
        <item x="106"/>
        <item x="146"/>
        <item x="270"/>
        <item x="222"/>
        <item x="190"/>
        <item x="311"/>
        <item x="74"/>
        <item x="289"/>
        <item x="81"/>
        <item x="70"/>
        <item x="6"/>
        <item x="137"/>
        <item x="159"/>
        <item x="19"/>
        <item x="242"/>
        <item x="1"/>
        <item x="51"/>
        <item x="322"/>
        <item x="39"/>
        <item x="308"/>
        <item x="14"/>
        <item x="240"/>
        <item x="300"/>
        <item x="276"/>
        <item x="247"/>
        <item x="128"/>
        <item x="90"/>
        <item x="235"/>
        <item x="187"/>
        <item x="264"/>
        <item x="83"/>
        <item x="113"/>
        <item x="28"/>
        <item x="191"/>
        <item x="92"/>
        <item x="167"/>
        <item x="232"/>
        <item x="53"/>
        <item x="258"/>
        <item x="166"/>
        <item x="154"/>
        <item x="277"/>
        <item x="164"/>
        <item x="135"/>
        <item x="172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 defaultSubtotal="0">
      <items count="3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6" baseItem="0" numFmtId="164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1001" totalsRowShown="0">
  <autoFilter ref="A1:M1001"/>
  <tableColumns count="13">
    <tableColumn id="1" name="Order ID"/>
    <tableColumn id="12" name="Month" dataDxfId="4">
      <calculatedColumnFormula>TEXT(D2,"mmm")</calculatedColumnFormula>
    </tableColumn>
    <tableColumn id="13" name="Month no" dataDxfId="3">
      <calculatedColumnFormula>MONTH(D2)</calculatedColumnFormula>
    </tableColumn>
    <tableColumn id="2" name="Order Date"/>
    <tableColumn id="3" name="Customer ID"/>
    <tableColumn id="4" name="Segment"/>
    <tableColumn id="5" name="Region"/>
    <tableColumn id="6" name="City"/>
    <tableColumn id="7" name="Category"/>
    <tableColumn id="8" name="Product"/>
    <tableColumn id="9" name="Quantity"/>
    <tableColumn id="10" name="Sales" dataDxfId="2"/>
    <tableColumn id="11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001" totalsRowShown="0">
  <autoFilter ref="A1:L1001"/>
  <tableColumns count="12">
    <tableColumn id="1" name="Order ID"/>
    <tableColumn id="2" name="Month"/>
    <tableColumn id="3" name="Order Date"/>
    <tableColumn id="4" name="Customer ID"/>
    <tableColumn id="5" name="Segment"/>
    <tableColumn id="6" name="Region"/>
    <tableColumn id="7" name="City"/>
    <tableColumn id="8" name="Category"/>
    <tableColumn id="9" name="Product"/>
    <tableColumn id="10" name="Quantity"/>
    <tableColumn id="11" name="Sales"/>
    <tableColumn id="12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zoomScaleNormal="100" workbookViewId="0">
      <selection activeCell="D5" sqref="D5"/>
    </sheetView>
  </sheetViews>
  <sheetFormatPr defaultRowHeight="15" x14ac:dyDescent="0.25"/>
  <cols>
    <col min="1" max="3" width="10.5703125" customWidth="1"/>
    <col min="4" max="4" width="12.85546875" customWidth="1"/>
    <col min="5" max="5" width="14" customWidth="1"/>
    <col min="6" max="6" width="11" customWidth="1"/>
    <col min="7" max="7" width="9.28515625" customWidth="1"/>
    <col min="9" max="9" width="11" customWidth="1"/>
    <col min="10" max="10" width="10" customWidth="1"/>
    <col min="11" max="11" width="10.85546875" customWidth="1"/>
    <col min="12" max="12" width="9.7109375" style="4" bestFit="1" customWidth="1"/>
  </cols>
  <sheetData>
    <row r="1" spans="1:13" x14ac:dyDescent="0.25">
      <c r="A1" t="s">
        <v>0</v>
      </c>
      <c r="B1" t="s">
        <v>987</v>
      </c>
      <c r="C1" t="s">
        <v>1011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4" t="s">
        <v>9</v>
      </c>
      <c r="M1" t="s">
        <v>10</v>
      </c>
    </row>
    <row r="2" spans="1:13" x14ac:dyDescent="0.25">
      <c r="A2">
        <v>10001</v>
      </c>
      <c r="B2" t="str">
        <f t="shared" ref="B2:B65" si="0">TEXT(D2,"mmm")</f>
        <v>Oct</v>
      </c>
      <c r="C2">
        <f t="shared" ref="C2:C65" si="1">MONTH(D2)</f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4</v>
      </c>
      <c r="L2" s="4">
        <v>1193.73</v>
      </c>
      <c r="M2">
        <v>211.8</v>
      </c>
    </row>
    <row r="3" spans="1:13" x14ac:dyDescent="0.25">
      <c r="A3">
        <v>10002</v>
      </c>
      <c r="B3" t="str">
        <f t="shared" si="0"/>
        <v>Nov</v>
      </c>
      <c r="C3">
        <f t="shared" si="1"/>
        <v>11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  <c r="I3" t="s">
        <v>22</v>
      </c>
      <c r="J3" t="s">
        <v>23</v>
      </c>
      <c r="K3">
        <v>4</v>
      </c>
      <c r="L3" s="4">
        <v>1240.04</v>
      </c>
      <c r="M3">
        <v>192.51</v>
      </c>
    </row>
    <row r="4" spans="1:13" x14ac:dyDescent="0.25">
      <c r="A4">
        <v>10003</v>
      </c>
      <c r="B4" t="str">
        <f t="shared" si="0"/>
        <v>May</v>
      </c>
      <c r="C4">
        <f t="shared" si="1"/>
        <v>5</v>
      </c>
      <c r="D4" t="s">
        <v>24</v>
      </c>
      <c r="E4" t="s">
        <v>25</v>
      </c>
      <c r="F4" t="s">
        <v>26</v>
      </c>
      <c r="G4" t="s">
        <v>20</v>
      </c>
      <c r="H4" t="s">
        <v>21</v>
      </c>
      <c r="I4" t="s">
        <v>27</v>
      </c>
      <c r="J4" t="s">
        <v>28</v>
      </c>
      <c r="K4">
        <v>1</v>
      </c>
      <c r="L4" s="4">
        <v>3818.16</v>
      </c>
      <c r="M4">
        <v>301.05</v>
      </c>
    </row>
    <row r="5" spans="1:13" x14ac:dyDescent="0.25">
      <c r="A5">
        <v>10004</v>
      </c>
      <c r="B5" t="str">
        <f t="shared" si="0"/>
        <v>Jan</v>
      </c>
      <c r="C5">
        <f t="shared" si="1"/>
        <v>1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22</v>
      </c>
      <c r="J5" t="s">
        <v>34</v>
      </c>
      <c r="K5">
        <v>2</v>
      </c>
      <c r="L5" s="4">
        <v>1859</v>
      </c>
      <c r="M5">
        <v>226.35</v>
      </c>
    </row>
    <row r="6" spans="1:13" x14ac:dyDescent="0.25">
      <c r="A6">
        <v>10005</v>
      </c>
      <c r="B6" t="str">
        <f t="shared" si="0"/>
        <v>Apr</v>
      </c>
      <c r="C6">
        <f t="shared" si="1"/>
        <v>4</v>
      </c>
      <c r="D6" t="s">
        <v>35</v>
      </c>
      <c r="E6" t="s">
        <v>36</v>
      </c>
      <c r="F6" t="s">
        <v>31</v>
      </c>
      <c r="G6" t="s">
        <v>14</v>
      </c>
      <c r="H6" t="s">
        <v>37</v>
      </c>
      <c r="I6" t="s">
        <v>22</v>
      </c>
      <c r="J6" t="s">
        <v>38</v>
      </c>
      <c r="K6">
        <v>6</v>
      </c>
      <c r="L6" s="4">
        <v>2929.03</v>
      </c>
      <c r="M6">
        <v>657.8</v>
      </c>
    </row>
    <row r="7" spans="1:13" x14ac:dyDescent="0.25">
      <c r="A7">
        <v>10006</v>
      </c>
      <c r="B7" t="str">
        <f t="shared" si="0"/>
        <v>Jul</v>
      </c>
      <c r="C7">
        <f t="shared" si="1"/>
        <v>7</v>
      </c>
      <c r="D7" t="s">
        <v>39</v>
      </c>
      <c r="E7" t="s">
        <v>40</v>
      </c>
      <c r="F7" t="s">
        <v>13</v>
      </c>
      <c r="G7" t="s">
        <v>14</v>
      </c>
      <c r="H7" t="s">
        <v>15</v>
      </c>
      <c r="I7" t="s">
        <v>22</v>
      </c>
      <c r="J7" t="s">
        <v>34</v>
      </c>
      <c r="K7">
        <v>5</v>
      </c>
      <c r="L7" s="4">
        <v>2321.71</v>
      </c>
      <c r="M7">
        <v>583.96</v>
      </c>
    </row>
    <row r="8" spans="1:13" x14ac:dyDescent="0.25">
      <c r="A8">
        <v>10007</v>
      </c>
      <c r="B8" t="str">
        <f t="shared" si="0"/>
        <v>Nov</v>
      </c>
      <c r="C8">
        <f t="shared" si="1"/>
        <v>11</v>
      </c>
      <c r="D8" t="s">
        <v>41</v>
      </c>
      <c r="E8" t="s">
        <v>42</v>
      </c>
      <c r="F8" t="s">
        <v>13</v>
      </c>
      <c r="G8" t="s">
        <v>32</v>
      </c>
      <c r="H8" t="s">
        <v>33</v>
      </c>
      <c r="I8" t="s">
        <v>16</v>
      </c>
      <c r="J8" t="s">
        <v>43</v>
      </c>
      <c r="K8">
        <v>4</v>
      </c>
      <c r="L8" s="4">
        <v>900.67</v>
      </c>
      <c r="M8">
        <v>31.52</v>
      </c>
    </row>
    <row r="9" spans="1:13" x14ac:dyDescent="0.25">
      <c r="A9">
        <v>10008</v>
      </c>
      <c r="B9" t="str">
        <f t="shared" si="0"/>
        <v>Oct</v>
      </c>
      <c r="C9">
        <f t="shared" si="1"/>
        <v>10</v>
      </c>
      <c r="D9" t="s">
        <v>44</v>
      </c>
      <c r="E9" t="s">
        <v>45</v>
      </c>
      <c r="F9" t="s">
        <v>13</v>
      </c>
      <c r="G9" t="s">
        <v>46</v>
      </c>
      <c r="H9" t="s">
        <v>47</v>
      </c>
      <c r="I9" t="s">
        <v>22</v>
      </c>
      <c r="J9" t="s">
        <v>48</v>
      </c>
      <c r="K9">
        <v>1</v>
      </c>
      <c r="L9" s="4">
        <v>4044.72</v>
      </c>
      <c r="M9">
        <v>601.27</v>
      </c>
    </row>
    <row r="10" spans="1:13" x14ac:dyDescent="0.25">
      <c r="A10">
        <v>10009</v>
      </c>
      <c r="B10" t="str">
        <f t="shared" si="0"/>
        <v>Mar</v>
      </c>
      <c r="C10">
        <f t="shared" si="1"/>
        <v>3</v>
      </c>
      <c r="D10" t="s">
        <v>49</v>
      </c>
      <c r="E10" t="s">
        <v>50</v>
      </c>
      <c r="F10" t="s">
        <v>13</v>
      </c>
      <c r="G10" t="s">
        <v>32</v>
      </c>
      <c r="H10" t="s">
        <v>33</v>
      </c>
      <c r="I10" t="s">
        <v>16</v>
      </c>
      <c r="J10" t="s">
        <v>51</v>
      </c>
      <c r="K10">
        <v>7</v>
      </c>
      <c r="L10" s="4">
        <v>4434.95</v>
      </c>
      <c r="M10">
        <v>920.21</v>
      </c>
    </row>
    <row r="11" spans="1:13" x14ac:dyDescent="0.25">
      <c r="A11">
        <v>10010</v>
      </c>
      <c r="B11" t="str">
        <f t="shared" si="0"/>
        <v>Feb</v>
      </c>
      <c r="C11">
        <f t="shared" si="1"/>
        <v>2</v>
      </c>
      <c r="D11" t="s">
        <v>52</v>
      </c>
      <c r="E11" t="s">
        <v>53</v>
      </c>
      <c r="F11" t="s">
        <v>26</v>
      </c>
      <c r="G11" t="s">
        <v>32</v>
      </c>
      <c r="H11" t="s">
        <v>54</v>
      </c>
      <c r="I11" t="s">
        <v>16</v>
      </c>
      <c r="J11" t="s">
        <v>51</v>
      </c>
      <c r="K11">
        <v>6</v>
      </c>
      <c r="L11" s="4">
        <v>1174.67</v>
      </c>
      <c r="M11">
        <v>300.73</v>
      </c>
    </row>
    <row r="12" spans="1:13" x14ac:dyDescent="0.25">
      <c r="A12">
        <v>10011</v>
      </c>
      <c r="B12" t="str">
        <f t="shared" si="0"/>
        <v>Aug</v>
      </c>
      <c r="C12">
        <f t="shared" si="1"/>
        <v>8</v>
      </c>
      <c r="D12" t="s">
        <v>55</v>
      </c>
      <c r="E12" t="s">
        <v>56</v>
      </c>
      <c r="F12" t="s">
        <v>31</v>
      </c>
      <c r="G12" t="s">
        <v>14</v>
      </c>
      <c r="H12" t="s">
        <v>15</v>
      </c>
      <c r="I12" t="s">
        <v>16</v>
      </c>
      <c r="J12" t="s">
        <v>43</v>
      </c>
      <c r="K12">
        <v>7</v>
      </c>
      <c r="L12" s="4">
        <v>3022.4</v>
      </c>
      <c r="M12">
        <v>382.26</v>
      </c>
    </row>
    <row r="13" spans="1:13" x14ac:dyDescent="0.25">
      <c r="A13">
        <v>10012</v>
      </c>
      <c r="B13" t="str">
        <f t="shared" si="0"/>
        <v>May</v>
      </c>
      <c r="C13">
        <f t="shared" si="1"/>
        <v>5</v>
      </c>
      <c r="D13" t="s">
        <v>57</v>
      </c>
      <c r="E13" t="s">
        <v>58</v>
      </c>
      <c r="F13" t="s">
        <v>26</v>
      </c>
      <c r="G13" t="s">
        <v>14</v>
      </c>
      <c r="H13" t="s">
        <v>15</v>
      </c>
      <c r="I13" t="s">
        <v>16</v>
      </c>
      <c r="J13" t="s">
        <v>17</v>
      </c>
      <c r="K13">
        <v>6</v>
      </c>
      <c r="L13" s="4">
        <v>646.61</v>
      </c>
      <c r="M13">
        <v>57.24</v>
      </c>
    </row>
    <row r="14" spans="1:13" x14ac:dyDescent="0.25">
      <c r="A14">
        <v>10013</v>
      </c>
      <c r="B14" t="str">
        <f t="shared" si="0"/>
        <v>Sep</v>
      </c>
      <c r="C14">
        <f t="shared" si="1"/>
        <v>9</v>
      </c>
      <c r="D14" t="s">
        <v>59</v>
      </c>
      <c r="E14" t="s">
        <v>60</v>
      </c>
      <c r="F14" t="s">
        <v>13</v>
      </c>
      <c r="G14" t="s">
        <v>14</v>
      </c>
      <c r="H14" t="s">
        <v>37</v>
      </c>
      <c r="I14" t="s">
        <v>16</v>
      </c>
      <c r="J14" t="s">
        <v>43</v>
      </c>
      <c r="K14">
        <v>3</v>
      </c>
      <c r="L14" s="4">
        <v>1932.18</v>
      </c>
      <c r="M14">
        <v>79.290000000000006</v>
      </c>
    </row>
    <row r="15" spans="1:13" x14ac:dyDescent="0.25">
      <c r="A15">
        <v>10014</v>
      </c>
      <c r="B15" t="str">
        <f t="shared" si="0"/>
        <v>Jan</v>
      </c>
      <c r="C15">
        <f t="shared" si="1"/>
        <v>1</v>
      </c>
      <c r="D15" t="s">
        <v>61</v>
      </c>
      <c r="E15" t="s">
        <v>62</v>
      </c>
      <c r="F15" t="s">
        <v>13</v>
      </c>
      <c r="G15" t="s">
        <v>32</v>
      </c>
      <c r="H15" t="s">
        <v>54</v>
      </c>
      <c r="I15" t="s">
        <v>22</v>
      </c>
      <c r="J15" t="s">
        <v>23</v>
      </c>
      <c r="K15">
        <v>6</v>
      </c>
      <c r="L15" s="4">
        <v>4405.74</v>
      </c>
      <c r="M15">
        <v>1105.56</v>
      </c>
    </row>
    <row r="16" spans="1:13" x14ac:dyDescent="0.25">
      <c r="A16">
        <v>10015</v>
      </c>
      <c r="B16" t="str">
        <f t="shared" si="0"/>
        <v>Dec</v>
      </c>
      <c r="C16">
        <f t="shared" si="1"/>
        <v>12</v>
      </c>
      <c r="D16" t="s">
        <v>63</v>
      </c>
      <c r="E16" t="s">
        <v>64</v>
      </c>
      <c r="F16" t="s">
        <v>13</v>
      </c>
      <c r="G16" t="s">
        <v>14</v>
      </c>
      <c r="H16" t="s">
        <v>15</v>
      </c>
      <c r="I16" t="s">
        <v>16</v>
      </c>
      <c r="J16" t="s">
        <v>51</v>
      </c>
      <c r="K16">
        <v>2</v>
      </c>
      <c r="L16" s="4">
        <v>4892.12</v>
      </c>
      <c r="M16">
        <v>883.55</v>
      </c>
    </row>
    <row r="17" spans="1:13" x14ac:dyDescent="0.25">
      <c r="A17">
        <v>10016</v>
      </c>
      <c r="B17" t="str">
        <f t="shared" si="0"/>
        <v>Jun</v>
      </c>
      <c r="C17">
        <f t="shared" si="1"/>
        <v>6</v>
      </c>
      <c r="D17" t="s">
        <v>65</v>
      </c>
      <c r="E17" t="s">
        <v>66</v>
      </c>
      <c r="F17" t="s">
        <v>13</v>
      </c>
      <c r="G17" t="s">
        <v>46</v>
      </c>
      <c r="H17" t="s">
        <v>47</v>
      </c>
      <c r="I17" t="s">
        <v>16</v>
      </c>
      <c r="J17" t="s">
        <v>51</v>
      </c>
      <c r="K17">
        <v>4</v>
      </c>
      <c r="L17" s="4">
        <v>4651.68</v>
      </c>
      <c r="M17">
        <v>1041.9100000000001</v>
      </c>
    </row>
    <row r="18" spans="1:13" x14ac:dyDescent="0.25">
      <c r="A18">
        <v>10017</v>
      </c>
      <c r="B18" t="str">
        <f t="shared" si="0"/>
        <v>Oct</v>
      </c>
      <c r="C18">
        <f t="shared" si="1"/>
        <v>10</v>
      </c>
      <c r="D18" t="s">
        <v>67</v>
      </c>
      <c r="E18" t="s">
        <v>68</v>
      </c>
      <c r="F18" t="s">
        <v>13</v>
      </c>
      <c r="G18" t="s">
        <v>32</v>
      </c>
      <c r="H18" t="s">
        <v>54</v>
      </c>
      <c r="I18" t="s">
        <v>16</v>
      </c>
      <c r="J18" t="s">
        <v>51</v>
      </c>
      <c r="K18">
        <v>2</v>
      </c>
      <c r="L18" s="4">
        <v>1314.74</v>
      </c>
      <c r="M18">
        <v>84.68</v>
      </c>
    </row>
    <row r="19" spans="1:13" x14ac:dyDescent="0.25">
      <c r="A19">
        <v>10018</v>
      </c>
      <c r="B19" t="str">
        <f t="shared" si="0"/>
        <v>Sep</v>
      </c>
      <c r="C19">
        <f t="shared" si="1"/>
        <v>9</v>
      </c>
      <c r="D19" t="s">
        <v>69</v>
      </c>
      <c r="E19" t="s">
        <v>70</v>
      </c>
      <c r="F19" t="s">
        <v>31</v>
      </c>
      <c r="G19" t="s">
        <v>46</v>
      </c>
      <c r="H19" t="s">
        <v>71</v>
      </c>
      <c r="I19" t="s">
        <v>22</v>
      </c>
      <c r="J19" t="s">
        <v>23</v>
      </c>
      <c r="K19">
        <v>4</v>
      </c>
      <c r="L19" s="4">
        <v>430.26</v>
      </c>
      <c r="M19">
        <v>-8.15</v>
      </c>
    </row>
    <row r="20" spans="1:13" x14ac:dyDescent="0.25">
      <c r="A20">
        <v>10019</v>
      </c>
      <c r="B20" t="str">
        <f t="shared" si="0"/>
        <v>Feb</v>
      </c>
      <c r="C20">
        <f t="shared" si="1"/>
        <v>2</v>
      </c>
      <c r="D20" t="s">
        <v>72</v>
      </c>
      <c r="E20" t="s">
        <v>73</v>
      </c>
      <c r="F20" t="s">
        <v>13</v>
      </c>
      <c r="G20" t="s">
        <v>20</v>
      </c>
      <c r="H20" t="s">
        <v>21</v>
      </c>
      <c r="I20" t="s">
        <v>16</v>
      </c>
      <c r="J20" t="s">
        <v>43</v>
      </c>
      <c r="K20">
        <v>8</v>
      </c>
      <c r="L20" s="4">
        <v>1290.69</v>
      </c>
      <c r="M20">
        <v>176.44</v>
      </c>
    </row>
    <row r="21" spans="1:13" x14ac:dyDescent="0.25">
      <c r="A21">
        <v>10020</v>
      </c>
      <c r="B21" t="str">
        <f t="shared" si="0"/>
        <v>Nov</v>
      </c>
      <c r="C21">
        <f t="shared" si="1"/>
        <v>11</v>
      </c>
      <c r="D21" t="s">
        <v>74</v>
      </c>
      <c r="E21" t="s">
        <v>75</v>
      </c>
      <c r="F21" t="s">
        <v>26</v>
      </c>
      <c r="G21" t="s">
        <v>20</v>
      </c>
      <c r="H21" t="s">
        <v>76</v>
      </c>
      <c r="I21" t="s">
        <v>27</v>
      </c>
      <c r="J21" t="s">
        <v>77</v>
      </c>
      <c r="K21">
        <v>8</v>
      </c>
      <c r="L21" s="4">
        <v>4332.8</v>
      </c>
      <c r="M21">
        <v>209.97</v>
      </c>
    </row>
    <row r="22" spans="1:13" x14ac:dyDescent="0.25">
      <c r="A22">
        <v>10021</v>
      </c>
      <c r="B22" t="str">
        <f t="shared" si="0"/>
        <v>May</v>
      </c>
      <c r="C22">
        <f t="shared" si="1"/>
        <v>5</v>
      </c>
      <c r="D22" t="s">
        <v>24</v>
      </c>
      <c r="E22" t="s">
        <v>78</v>
      </c>
      <c r="F22" t="s">
        <v>26</v>
      </c>
      <c r="G22" t="s">
        <v>20</v>
      </c>
      <c r="H22" t="s">
        <v>76</v>
      </c>
      <c r="I22" t="s">
        <v>22</v>
      </c>
      <c r="J22" t="s">
        <v>48</v>
      </c>
      <c r="K22">
        <v>4</v>
      </c>
      <c r="L22" s="4">
        <v>1032.02</v>
      </c>
      <c r="M22">
        <v>125.16</v>
      </c>
    </row>
    <row r="23" spans="1:13" x14ac:dyDescent="0.25">
      <c r="A23">
        <v>10022</v>
      </c>
      <c r="B23" t="str">
        <f t="shared" si="0"/>
        <v>Feb</v>
      </c>
      <c r="C23">
        <f t="shared" si="1"/>
        <v>2</v>
      </c>
      <c r="D23" t="s">
        <v>79</v>
      </c>
      <c r="E23" t="s">
        <v>80</v>
      </c>
      <c r="F23" t="s">
        <v>26</v>
      </c>
      <c r="G23" t="s">
        <v>14</v>
      </c>
      <c r="H23" t="s">
        <v>37</v>
      </c>
      <c r="I23" t="s">
        <v>16</v>
      </c>
      <c r="J23" t="s">
        <v>81</v>
      </c>
      <c r="K23">
        <v>1</v>
      </c>
      <c r="L23" s="4">
        <v>3295.51</v>
      </c>
      <c r="M23">
        <v>608.67999999999995</v>
      </c>
    </row>
    <row r="24" spans="1:13" x14ac:dyDescent="0.25">
      <c r="A24">
        <v>10023</v>
      </c>
      <c r="B24" t="str">
        <f t="shared" si="0"/>
        <v>Jan</v>
      </c>
      <c r="C24">
        <f t="shared" si="1"/>
        <v>1</v>
      </c>
      <c r="D24" t="s">
        <v>82</v>
      </c>
      <c r="E24" t="s">
        <v>83</v>
      </c>
      <c r="F24" t="s">
        <v>31</v>
      </c>
      <c r="G24" t="s">
        <v>46</v>
      </c>
      <c r="H24" t="s">
        <v>47</v>
      </c>
      <c r="I24" t="s">
        <v>27</v>
      </c>
      <c r="J24" t="s">
        <v>77</v>
      </c>
      <c r="K24">
        <v>4</v>
      </c>
      <c r="L24" s="4">
        <v>4336.79</v>
      </c>
      <c r="M24">
        <v>1178.8</v>
      </c>
    </row>
    <row r="25" spans="1:13" x14ac:dyDescent="0.25">
      <c r="A25">
        <v>10024</v>
      </c>
      <c r="B25" t="str">
        <f t="shared" si="0"/>
        <v>Oct</v>
      </c>
      <c r="C25">
        <f t="shared" si="1"/>
        <v>10</v>
      </c>
      <c r="D25" t="s">
        <v>84</v>
      </c>
      <c r="E25" t="s">
        <v>85</v>
      </c>
      <c r="F25" t="s">
        <v>13</v>
      </c>
      <c r="G25" t="s">
        <v>20</v>
      </c>
      <c r="H25" t="s">
        <v>76</v>
      </c>
      <c r="I25" t="s">
        <v>27</v>
      </c>
      <c r="J25" t="s">
        <v>77</v>
      </c>
      <c r="K25">
        <v>3</v>
      </c>
      <c r="L25" s="4">
        <v>1030.5</v>
      </c>
      <c r="M25">
        <v>101.76</v>
      </c>
    </row>
    <row r="26" spans="1:13" x14ac:dyDescent="0.25">
      <c r="A26">
        <v>10025</v>
      </c>
      <c r="B26" t="str">
        <f t="shared" si="0"/>
        <v>Feb</v>
      </c>
      <c r="C26">
        <f t="shared" si="1"/>
        <v>2</v>
      </c>
      <c r="D26" t="s">
        <v>86</v>
      </c>
      <c r="E26" t="s">
        <v>87</v>
      </c>
      <c r="F26" t="s">
        <v>26</v>
      </c>
      <c r="G26" t="s">
        <v>32</v>
      </c>
      <c r="H26" t="s">
        <v>33</v>
      </c>
      <c r="I26" t="s">
        <v>22</v>
      </c>
      <c r="J26" t="s">
        <v>34</v>
      </c>
      <c r="K26">
        <v>3</v>
      </c>
      <c r="L26" s="4">
        <v>378.71</v>
      </c>
      <c r="M26">
        <v>-18.12</v>
      </c>
    </row>
    <row r="27" spans="1:13" x14ac:dyDescent="0.25">
      <c r="A27">
        <v>10026</v>
      </c>
      <c r="B27" t="str">
        <f t="shared" si="0"/>
        <v>Sep</v>
      </c>
      <c r="C27">
        <f t="shared" si="1"/>
        <v>9</v>
      </c>
      <c r="D27" t="s">
        <v>88</v>
      </c>
      <c r="E27" t="s">
        <v>89</v>
      </c>
      <c r="F27" t="s">
        <v>31</v>
      </c>
      <c r="G27" t="s">
        <v>46</v>
      </c>
      <c r="H27" t="s">
        <v>47</v>
      </c>
      <c r="I27" t="s">
        <v>22</v>
      </c>
      <c r="J27" t="s">
        <v>48</v>
      </c>
      <c r="K27">
        <v>1</v>
      </c>
      <c r="L27" s="4">
        <v>3134.97</v>
      </c>
      <c r="M27">
        <v>426.95</v>
      </c>
    </row>
    <row r="28" spans="1:13" x14ac:dyDescent="0.25">
      <c r="A28">
        <v>10027</v>
      </c>
      <c r="B28" t="str">
        <f t="shared" si="0"/>
        <v>Feb</v>
      </c>
      <c r="C28">
        <f t="shared" si="1"/>
        <v>2</v>
      </c>
      <c r="D28" t="s">
        <v>90</v>
      </c>
      <c r="E28" t="s">
        <v>91</v>
      </c>
      <c r="F28" t="s">
        <v>31</v>
      </c>
      <c r="G28" t="s">
        <v>46</v>
      </c>
      <c r="H28" t="s">
        <v>47</v>
      </c>
      <c r="I28" t="s">
        <v>22</v>
      </c>
      <c r="J28" t="s">
        <v>38</v>
      </c>
      <c r="K28">
        <v>7</v>
      </c>
      <c r="L28" s="4">
        <v>741.3</v>
      </c>
      <c r="M28">
        <v>110.97</v>
      </c>
    </row>
    <row r="29" spans="1:13" x14ac:dyDescent="0.25">
      <c r="A29">
        <v>10028</v>
      </c>
      <c r="B29" t="str">
        <f t="shared" si="0"/>
        <v>May</v>
      </c>
      <c r="C29">
        <f t="shared" si="1"/>
        <v>5</v>
      </c>
      <c r="D29" t="s">
        <v>92</v>
      </c>
      <c r="E29" t="s">
        <v>93</v>
      </c>
      <c r="F29" t="s">
        <v>31</v>
      </c>
      <c r="G29" t="s">
        <v>14</v>
      </c>
      <c r="H29" t="s">
        <v>15</v>
      </c>
      <c r="I29" t="s">
        <v>16</v>
      </c>
      <c r="J29" t="s">
        <v>43</v>
      </c>
      <c r="K29">
        <v>5</v>
      </c>
      <c r="L29" s="4">
        <v>749.04</v>
      </c>
      <c r="M29">
        <v>95.93</v>
      </c>
    </row>
    <row r="30" spans="1:13" x14ac:dyDescent="0.25">
      <c r="A30">
        <v>10029</v>
      </c>
      <c r="B30" t="str">
        <f t="shared" si="0"/>
        <v>Feb</v>
      </c>
      <c r="C30">
        <f t="shared" si="1"/>
        <v>2</v>
      </c>
      <c r="D30" t="s">
        <v>94</v>
      </c>
      <c r="E30" t="s">
        <v>95</v>
      </c>
      <c r="F30" t="s">
        <v>26</v>
      </c>
      <c r="G30" t="s">
        <v>46</v>
      </c>
      <c r="H30" t="s">
        <v>47</v>
      </c>
      <c r="I30" t="s">
        <v>16</v>
      </c>
      <c r="J30" t="s">
        <v>17</v>
      </c>
      <c r="K30">
        <v>1</v>
      </c>
      <c r="L30" s="4">
        <v>3372.53</v>
      </c>
      <c r="M30">
        <v>543.04999999999995</v>
      </c>
    </row>
    <row r="31" spans="1:13" x14ac:dyDescent="0.25">
      <c r="A31">
        <v>10030</v>
      </c>
      <c r="B31" t="str">
        <f t="shared" si="0"/>
        <v>Dec</v>
      </c>
      <c r="C31">
        <f t="shared" si="1"/>
        <v>12</v>
      </c>
      <c r="D31" t="s">
        <v>96</v>
      </c>
      <c r="E31" t="s">
        <v>97</v>
      </c>
      <c r="F31" t="s">
        <v>31</v>
      </c>
      <c r="G31" t="s">
        <v>32</v>
      </c>
      <c r="H31" t="s">
        <v>33</v>
      </c>
      <c r="I31" t="s">
        <v>22</v>
      </c>
      <c r="J31" t="s">
        <v>48</v>
      </c>
      <c r="K31">
        <v>5</v>
      </c>
      <c r="L31" s="4">
        <v>1480.61</v>
      </c>
      <c r="M31">
        <v>117.71</v>
      </c>
    </row>
    <row r="32" spans="1:13" x14ac:dyDescent="0.25">
      <c r="A32">
        <v>10031</v>
      </c>
      <c r="B32" t="str">
        <f t="shared" si="0"/>
        <v>Mar</v>
      </c>
      <c r="C32">
        <f t="shared" si="1"/>
        <v>3</v>
      </c>
      <c r="D32" t="s">
        <v>98</v>
      </c>
      <c r="E32" t="s">
        <v>99</v>
      </c>
      <c r="F32" t="s">
        <v>31</v>
      </c>
      <c r="G32" t="s">
        <v>20</v>
      </c>
      <c r="H32" t="s">
        <v>76</v>
      </c>
      <c r="I32" t="s">
        <v>22</v>
      </c>
      <c r="J32" t="s">
        <v>23</v>
      </c>
      <c r="K32">
        <v>7</v>
      </c>
      <c r="L32" s="4">
        <v>4163.8100000000004</v>
      </c>
      <c r="M32">
        <v>220.73</v>
      </c>
    </row>
    <row r="33" spans="1:13" x14ac:dyDescent="0.25">
      <c r="A33">
        <v>10032</v>
      </c>
      <c r="B33" t="str">
        <f t="shared" si="0"/>
        <v>Mar</v>
      </c>
      <c r="C33">
        <f t="shared" si="1"/>
        <v>3</v>
      </c>
      <c r="D33" t="s">
        <v>100</v>
      </c>
      <c r="E33" t="s">
        <v>101</v>
      </c>
      <c r="F33" t="s">
        <v>26</v>
      </c>
      <c r="G33" t="s">
        <v>46</v>
      </c>
      <c r="H33" t="s">
        <v>47</v>
      </c>
      <c r="I33" t="s">
        <v>16</v>
      </c>
      <c r="J33" t="s">
        <v>51</v>
      </c>
      <c r="K33">
        <v>1</v>
      </c>
      <c r="L33" s="4">
        <v>648.17999999999995</v>
      </c>
      <c r="M33">
        <v>116.45</v>
      </c>
    </row>
    <row r="34" spans="1:13" x14ac:dyDescent="0.25">
      <c r="A34">
        <v>10033</v>
      </c>
      <c r="B34" t="str">
        <f t="shared" si="0"/>
        <v>Jan</v>
      </c>
      <c r="C34">
        <f t="shared" si="1"/>
        <v>1</v>
      </c>
      <c r="D34" t="s">
        <v>102</v>
      </c>
      <c r="E34" t="s">
        <v>103</v>
      </c>
      <c r="F34" t="s">
        <v>26</v>
      </c>
      <c r="G34" t="s">
        <v>32</v>
      </c>
      <c r="H34" t="s">
        <v>33</v>
      </c>
      <c r="I34" t="s">
        <v>27</v>
      </c>
      <c r="J34" t="s">
        <v>104</v>
      </c>
      <c r="K34">
        <v>1</v>
      </c>
      <c r="L34" s="4">
        <v>1610.47</v>
      </c>
      <c r="M34">
        <v>362.86</v>
      </c>
    </row>
    <row r="35" spans="1:13" x14ac:dyDescent="0.25">
      <c r="A35">
        <v>10034</v>
      </c>
      <c r="B35" t="str">
        <f t="shared" si="0"/>
        <v>Apr</v>
      </c>
      <c r="C35">
        <f t="shared" si="1"/>
        <v>4</v>
      </c>
      <c r="D35" t="s">
        <v>105</v>
      </c>
      <c r="E35" t="s">
        <v>106</v>
      </c>
      <c r="F35" t="s">
        <v>26</v>
      </c>
      <c r="G35" t="s">
        <v>46</v>
      </c>
      <c r="H35" t="s">
        <v>71</v>
      </c>
      <c r="I35" t="s">
        <v>27</v>
      </c>
      <c r="J35" t="s">
        <v>77</v>
      </c>
      <c r="K35">
        <v>3</v>
      </c>
      <c r="L35" s="4">
        <v>4636.24</v>
      </c>
      <c r="M35">
        <v>489.95</v>
      </c>
    </row>
    <row r="36" spans="1:13" x14ac:dyDescent="0.25">
      <c r="A36">
        <v>10035</v>
      </c>
      <c r="B36" t="str">
        <f t="shared" si="0"/>
        <v>Jan</v>
      </c>
      <c r="C36">
        <f t="shared" si="1"/>
        <v>1</v>
      </c>
      <c r="D36" t="s">
        <v>107</v>
      </c>
      <c r="E36" t="s">
        <v>108</v>
      </c>
      <c r="F36" t="s">
        <v>31</v>
      </c>
      <c r="G36" t="s">
        <v>46</v>
      </c>
      <c r="H36" t="s">
        <v>47</v>
      </c>
      <c r="I36" t="s">
        <v>27</v>
      </c>
      <c r="J36" t="s">
        <v>104</v>
      </c>
      <c r="K36">
        <v>5</v>
      </c>
      <c r="L36" s="4">
        <v>880.07</v>
      </c>
      <c r="M36">
        <v>160.04</v>
      </c>
    </row>
    <row r="37" spans="1:13" x14ac:dyDescent="0.25">
      <c r="A37">
        <v>10036</v>
      </c>
      <c r="B37" t="str">
        <f t="shared" si="0"/>
        <v>Dec</v>
      </c>
      <c r="C37">
        <f t="shared" si="1"/>
        <v>12</v>
      </c>
      <c r="D37" t="s">
        <v>63</v>
      </c>
      <c r="E37" t="s">
        <v>109</v>
      </c>
      <c r="F37" t="s">
        <v>31</v>
      </c>
      <c r="G37" t="s">
        <v>46</v>
      </c>
      <c r="H37" t="s">
        <v>71</v>
      </c>
      <c r="I37" t="s">
        <v>27</v>
      </c>
      <c r="J37" t="s">
        <v>28</v>
      </c>
      <c r="K37">
        <v>5</v>
      </c>
      <c r="L37" s="4">
        <v>4120.63</v>
      </c>
      <c r="M37">
        <v>1081.3399999999999</v>
      </c>
    </row>
    <row r="38" spans="1:13" x14ac:dyDescent="0.25">
      <c r="A38">
        <v>10037</v>
      </c>
      <c r="B38" t="str">
        <f t="shared" si="0"/>
        <v>Oct</v>
      </c>
      <c r="C38">
        <f t="shared" si="1"/>
        <v>10</v>
      </c>
      <c r="D38" t="s">
        <v>110</v>
      </c>
      <c r="E38" t="s">
        <v>111</v>
      </c>
      <c r="F38" t="s">
        <v>26</v>
      </c>
      <c r="G38" t="s">
        <v>32</v>
      </c>
      <c r="H38" t="s">
        <v>54</v>
      </c>
      <c r="I38" t="s">
        <v>22</v>
      </c>
      <c r="J38" t="s">
        <v>38</v>
      </c>
      <c r="K38">
        <v>6</v>
      </c>
      <c r="L38" s="4">
        <v>3243.26</v>
      </c>
      <c r="M38">
        <v>388.11</v>
      </c>
    </row>
    <row r="39" spans="1:13" x14ac:dyDescent="0.25">
      <c r="A39">
        <v>10038</v>
      </c>
      <c r="B39" t="str">
        <f t="shared" si="0"/>
        <v>Jun</v>
      </c>
      <c r="C39">
        <f t="shared" si="1"/>
        <v>6</v>
      </c>
      <c r="D39" t="s">
        <v>112</v>
      </c>
      <c r="E39" t="s">
        <v>113</v>
      </c>
      <c r="F39" t="s">
        <v>13</v>
      </c>
      <c r="G39" t="s">
        <v>14</v>
      </c>
      <c r="H39" t="s">
        <v>37</v>
      </c>
      <c r="I39" t="s">
        <v>22</v>
      </c>
      <c r="J39" t="s">
        <v>38</v>
      </c>
      <c r="K39">
        <v>1</v>
      </c>
      <c r="L39" s="4">
        <v>631.16999999999996</v>
      </c>
      <c r="M39">
        <v>27.27</v>
      </c>
    </row>
    <row r="40" spans="1:13" x14ac:dyDescent="0.25">
      <c r="A40">
        <v>10039</v>
      </c>
      <c r="B40" t="str">
        <f t="shared" si="0"/>
        <v>Oct</v>
      </c>
      <c r="C40">
        <f t="shared" si="1"/>
        <v>10</v>
      </c>
      <c r="D40" t="s">
        <v>114</v>
      </c>
      <c r="E40" t="s">
        <v>115</v>
      </c>
      <c r="F40" t="s">
        <v>13</v>
      </c>
      <c r="G40" t="s">
        <v>14</v>
      </c>
      <c r="H40" t="s">
        <v>37</v>
      </c>
      <c r="I40" t="s">
        <v>16</v>
      </c>
      <c r="J40" t="s">
        <v>43</v>
      </c>
      <c r="K40">
        <v>5</v>
      </c>
      <c r="L40" s="4">
        <v>317.49</v>
      </c>
      <c r="M40">
        <v>-1.51</v>
      </c>
    </row>
    <row r="41" spans="1:13" x14ac:dyDescent="0.25">
      <c r="A41">
        <v>10040</v>
      </c>
      <c r="B41" t="str">
        <f t="shared" si="0"/>
        <v>Jun</v>
      </c>
      <c r="C41">
        <f t="shared" si="1"/>
        <v>6</v>
      </c>
      <c r="D41" t="s">
        <v>116</v>
      </c>
      <c r="E41" t="s">
        <v>117</v>
      </c>
      <c r="F41" t="s">
        <v>31</v>
      </c>
      <c r="G41" t="s">
        <v>46</v>
      </c>
      <c r="H41" t="s">
        <v>47</v>
      </c>
      <c r="I41" t="s">
        <v>27</v>
      </c>
      <c r="J41" t="s">
        <v>118</v>
      </c>
      <c r="K41">
        <v>6</v>
      </c>
      <c r="L41" s="4">
        <v>3153.46</v>
      </c>
      <c r="M41">
        <v>668.2</v>
      </c>
    </row>
    <row r="42" spans="1:13" x14ac:dyDescent="0.25">
      <c r="A42">
        <v>10041</v>
      </c>
      <c r="B42" t="str">
        <f t="shared" si="0"/>
        <v>Mar</v>
      </c>
      <c r="C42">
        <f t="shared" si="1"/>
        <v>3</v>
      </c>
      <c r="D42" t="s">
        <v>119</v>
      </c>
      <c r="E42" t="s">
        <v>120</v>
      </c>
      <c r="F42" t="s">
        <v>13</v>
      </c>
      <c r="G42" t="s">
        <v>20</v>
      </c>
      <c r="H42" t="s">
        <v>76</v>
      </c>
      <c r="I42" t="s">
        <v>27</v>
      </c>
      <c r="J42" t="s">
        <v>28</v>
      </c>
      <c r="K42">
        <v>3</v>
      </c>
      <c r="L42" s="4">
        <v>1040.02</v>
      </c>
      <c r="M42">
        <v>186.97</v>
      </c>
    </row>
    <row r="43" spans="1:13" x14ac:dyDescent="0.25">
      <c r="A43">
        <v>10042</v>
      </c>
      <c r="B43" t="str">
        <f t="shared" si="0"/>
        <v>Dec</v>
      </c>
      <c r="C43">
        <f t="shared" si="1"/>
        <v>12</v>
      </c>
      <c r="D43" t="s">
        <v>121</v>
      </c>
      <c r="E43" t="s">
        <v>122</v>
      </c>
      <c r="F43" t="s">
        <v>31</v>
      </c>
      <c r="G43" t="s">
        <v>32</v>
      </c>
      <c r="H43" t="s">
        <v>54</v>
      </c>
      <c r="I43" t="s">
        <v>16</v>
      </c>
      <c r="J43" t="s">
        <v>81</v>
      </c>
      <c r="K43">
        <v>5</v>
      </c>
      <c r="L43" s="4">
        <v>1505.88</v>
      </c>
      <c r="M43">
        <v>179.14</v>
      </c>
    </row>
    <row r="44" spans="1:13" x14ac:dyDescent="0.25">
      <c r="A44">
        <v>10043</v>
      </c>
      <c r="B44" t="str">
        <f t="shared" si="0"/>
        <v>Dec</v>
      </c>
      <c r="C44">
        <f t="shared" si="1"/>
        <v>12</v>
      </c>
      <c r="D44" t="s">
        <v>63</v>
      </c>
      <c r="E44" t="s">
        <v>123</v>
      </c>
      <c r="F44" t="s">
        <v>31</v>
      </c>
      <c r="G44" t="s">
        <v>20</v>
      </c>
      <c r="H44" t="s">
        <v>76</v>
      </c>
      <c r="I44" t="s">
        <v>16</v>
      </c>
      <c r="J44" t="s">
        <v>43</v>
      </c>
      <c r="K44">
        <v>8</v>
      </c>
      <c r="L44" s="4">
        <v>3989.3</v>
      </c>
      <c r="M44">
        <v>1083.1300000000001</v>
      </c>
    </row>
    <row r="45" spans="1:13" x14ac:dyDescent="0.25">
      <c r="A45">
        <v>10044</v>
      </c>
      <c r="B45" t="str">
        <f t="shared" si="0"/>
        <v>Sep</v>
      </c>
      <c r="C45">
        <f t="shared" si="1"/>
        <v>9</v>
      </c>
      <c r="D45" t="s">
        <v>124</v>
      </c>
      <c r="E45" t="s">
        <v>125</v>
      </c>
      <c r="F45" t="s">
        <v>26</v>
      </c>
      <c r="G45" t="s">
        <v>32</v>
      </c>
      <c r="H45" t="s">
        <v>33</v>
      </c>
      <c r="I45" t="s">
        <v>22</v>
      </c>
      <c r="J45" t="s">
        <v>38</v>
      </c>
      <c r="K45">
        <v>4</v>
      </c>
      <c r="L45" s="4">
        <v>4052.16</v>
      </c>
      <c r="M45">
        <v>347.26</v>
      </c>
    </row>
    <row r="46" spans="1:13" x14ac:dyDescent="0.25">
      <c r="A46">
        <v>10045</v>
      </c>
      <c r="B46" t="str">
        <f t="shared" si="0"/>
        <v>Jan</v>
      </c>
      <c r="C46">
        <f t="shared" si="1"/>
        <v>1</v>
      </c>
      <c r="D46" t="s">
        <v>126</v>
      </c>
      <c r="E46" t="s">
        <v>127</v>
      </c>
      <c r="F46" t="s">
        <v>26</v>
      </c>
      <c r="G46" t="s">
        <v>20</v>
      </c>
      <c r="H46" t="s">
        <v>76</v>
      </c>
      <c r="I46" t="s">
        <v>16</v>
      </c>
      <c r="J46" t="s">
        <v>43</v>
      </c>
      <c r="K46">
        <v>7</v>
      </c>
      <c r="L46" s="4">
        <v>2522.4499999999998</v>
      </c>
      <c r="M46">
        <v>214.38</v>
      </c>
    </row>
    <row r="47" spans="1:13" x14ac:dyDescent="0.25">
      <c r="A47">
        <v>10046</v>
      </c>
      <c r="B47" t="str">
        <f t="shared" si="0"/>
        <v>Mar</v>
      </c>
      <c r="C47">
        <f t="shared" si="1"/>
        <v>3</v>
      </c>
      <c r="D47" t="s">
        <v>128</v>
      </c>
      <c r="E47" t="s">
        <v>129</v>
      </c>
      <c r="F47" t="s">
        <v>31</v>
      </c>
      <c r="G47" t="s">
        <v>20</v>
      </c>
      <c r="H47" t="s">
        <v>21</v>
      </c>
      <c r="I47" t="s">
        <v>22</v>
      </c>
      <c r="J47" t="s">
        <v>34</v>
      </c>
      <c r="K47">
        <v>1</v>
      </c>
      <c r="L47" s="4">
        <v>2831.29</v>
      </c>
      <c r="M47">
        <v>778.83</v>
      </c>
    </row>
    <row r="48" spans="1:13" x14ac:dyDescent="0.25">
      <c r="A48">
        <v>10047</v>
      </c>
      <c r="B48" t="str">
        <f t="shared" si="0"/>
        <v>May</v>
      </c>
      <c r="C48">
        <f t="shared" si="1"/>
        <v>5</v>
      </c>
      <c r="D48" t="s">
        <v>130</v>
      </c>
      <c r="E48" t="s">
        <v>131</v>
      </c>
      <c r="F48" t="s">
        <v>26</v>
      </c>
      <c r="G48" t="s">
        <v>32</v>
      </c>
      <c r="H48" t="s">
        <v>54</v>
      </c>
      <c r="I48" t="s">
        <v>16</v>
      </c>
      <c r="J48" t="s">
        <v>51</v>
      </c>
      <c r="K48">
        <v>8</v>
      </c>
      <c r="L48" s="4">
        <v>4496.32</v>
      </c>
      <c r="M48">
        <v>1013.28</v>
      </c>
    </row>
    <row r="49" spans="1:13" x14ac:dyDescent="0.25">
      <c r="A49">
        <v>10048</v>
      </c>
      <c r="B49" t="str">
        <f t="shared" si="0"/>
        <v>Jun</v>
      </c>
      <c r="C49">
        <f t="shared" si="1"/>
        <v>6</v>
      </c>
      <c r="D49" t="s">
        <v>132</v>
      </c>
      <c r="E49" t="s">
        <v>133</v>
      </c>
      <c r="F49" t="s">
        <v>13</v>
      </c>
      <c r="G49" t="s">
        <v>32</v>
      </c>
      <c r="H49" t="s">
        <v>54</v>
      </c>
      <c r="I49" t="s">
        <v>16</v>
      </c>
      <c r="J49" t="s">
        <v>43</v>
      </c>
      <c r="K49">
        <v>5</v>
      </c>
      <c r="L49" s="4">
        <v>2255.38</v>
      </c>
      <c r="M49">
        <v>491.65</v>
      </c>
    </row>
    <row r="50" spans="1:13" x14ac:dyDescent="0.25">
      <c r="A50">
        <v>10049</v>
      </c>
      <c r="B50" t="str">
        <f t="shared" si="0"/>
        <v>Jul</v>
      </c>
      <c r="C50">
        <f t="shared" si="1"/>
        <v>7</v>
      </c>
      <c r="D50" t="s">
        <v>134</v>
      </c>
      <c r="E50" t="s">
        <v>135</v>
      </c>
      <c r="F50" t="s">
        <v>13</v>
      </c>
      <c r="G50" t="s">
        <v>14</v>
      </c>
      <c r="H50" t="s">
        <v>15</v>
      </c>
      <c r="I50" t="s">
        <v>22</v>
      </c>
      <c r="J50" t="s">
        <v>48</v>
      </c>
      <c r="K50">
        <v>7</v>
      </c>
      <c r="L50" s="4">
        <v>3500.35</v>
      </c>
      <c r="M50">
        <v>786.77</v>
      </c>
    </row>
    <row r="51" spans="1:13" x14ac:dyDescent="0.25">
      <c r="A51">
        <v>10050</v>
      </c>
      <c r="B51" t="str">
        <f t="shared" si="0"/>
        <v>Jan</v>
      </c>
      <c r="C51">
        <f t="shared" si="1"/>
        <v>1</v>
      </c>
      <c r="D51" t="s">
        <v>136</v>
      </c>
      <c r="E51" t="s">
        <v>137</v>
      </c>
      <c r="F51" t="s">
        <v>13</v>
      </c>
      <c r="G51" t="s">
        <v>20</v>
      </c>
      <c r="H51" t="s">
        <v>76</v>
      </c>
      <c r="I51" t="s">
        <v>22</v>
      </c>
      <c r="J51" t="s">
        <v>48</v>
      </c>
      <c r="K51">
        <v>7</v>
      </c>
      <c r="L51" s="4">
        <v>2008.44</v>
      </c>
      <c r="M51">
        <v>392.34</v>
      </c>
    </row>
    <row r="52" spans="1:13" x14ac:dyDescent="0.25">
      <c r="A52">
        <v>10051</v>
      </c>
      <c r="B52" t="str">
        <f t="shared" si="0"/>
        <v>Aug</v>
      </c>
      <c r="C52">
        <f t="shared" si="1"/>
        <v>8</v>
      </c>
      <c r="D52" t="s">
        <v>138</v>
      </c>
      <c r="E52" t="s">
        <v>139</v>
      </c>
      <c r="F52" t="s">
        <v>13</v>
      </c>
      <c r="G52" t="s">
        <v>20</v>
      </c>
      <c r="H52" t="s">
        <v>76</v>
      </c>
      <c r="I52" t="s">
        <v>22</v>
      </c>
      <c r="J52" t="s">
        <v>38</v>
      </c>
      <c r="K52">
        <v>5</v>
      </c>
      <c r="L52" s="4">
        <v>3792.03</v>
      </c>
      <c r="M52">
        <v>903.33</v>
      </c>
    </row>
    <row r="53" spans="1:13" x14ac:dyDescent="0.25">
      <c r="A53">
        <v>10052</v>
      </c>
      <c r="B53" t="str">
        <f t="shared" si="0"/>
        <v>Jul</v>
      </c>
      <c r="C53">
        <f t="shared" si="1"/>
        <v>7</v>
      </c>
      <c r="D53" t="s">
        <v>140</v>
      </c>
      <c r="E53" t="s">
        <v>141</v>
      </c>
      <c r="F53" t="s">
        <v>26</v>
      </c>
      <c r="G53" t="s">
        <v>46</v>
      </c>
      <c r="H53" t="s">
        <v>47</v>
      </c>
      <c r="I53" t="s">
        <v>22</v>
      </c>
      <c r="J53" t="s">
        <v>38</v>
      </c>
      <c r="K53">
        <v>7</v>
      </c>
      <c r="L53" s="4">
        <v>2479.65</v>
      </c>
      <c r="M53">
        <v>298.14999999999998</v>
      </c>
    </row>
    <row r="54" spans="1:13" x14ac:dyDescent="0.25">
      <c r="A54">
        <v>10053</v>
      </c>
      <c r="B54" t="str">
        <f t="shared" si="0"/>
        <v>Aug</v>
      </c>
      <c r="C54">
        <f t="shared" si="1"/>
        <v>8</v>
      </c>
      <c r="D54" t="s">
        <v>142</v>
      </c>
      <c r="E54" t="s">
        <v>143</v>
      </c>
      <c r="F54" t="s">
        <v>31</v>
      </c>
      <c r="G54" t="s">
        <v>20</v>
      </c>
      <c r="H54" t="s">
        <v>21</v>
      </c>
      <c r="I54" t="s">
        <v>16</v>
      </c>
      <c r="J54" t="s">
        <v>81</v>
      </c>
      <c r="K54">
        <v>7</v>
      </c>
      <c r="L54" s="4">
        <v>3000.27</v>
      </c>
      <c r="M54">
        <v>638.91</v>
      </c>
    </row>
    <row r="55" spans="1:13" x14ac:dyDescent="0.25">
      <c r="A55">
        <v>10054</v>
      </c>
      <c r="B55" t="str">
        <f t="shared" si="0"/>
        <v>Jul</v>
      </c>
      <c r="C55">
        <f t="shared" si="1"/>
        <v>7</v>
      </c>
      <c r="D55" t="s">
        <v>144</v>
      </c>
      <c r="E55" t="s">
        <v>145</v>
      </c>
      <c r="F55" t="s">
        <v>31</v>
      </c>
      <c r="G55" t="s">
        <v>46</v>
      </c>
      <c r="H55" t="s">
        <v>71</v>
      </c>
      <c r="I55" t="s">
        <v>27</v>
      </c>
      <c r="J55" t="s">
        <v>77</v>
      </c>
      <c r="K55">
        <v>6</v>
      </c>
      <c r="L55" s="4">
        <v>1137.1400000000001</v>
      </c>
      <c r="M55">
        <v>73.650000000000006</v>
      </c>
    </row>
    <row r="56" spans="1:13" x14ac:dyDescent="0.25">
      <c r="A56">
        <v>10055</v>
      </c>
      <c r="B56" t="str">
        <f t="shared" si="0"/>
        <v>Nov</v>
      </c>
      <c r="C56">
        <f t="shared" si="1"/>
        <v>11</v>
      </c>
      <c r="D56" t="s">
        <v>146</v>
      </c>
      <c r="E56" t="s">
        <v>147</v>
      </c>
      <c r="F56" t="s">
        <v>26</v>
      </c>
      <c r="G56" t="s">
        <v>32</v>
      </c>
      <c r="H56" t="s">
        <v>33</v>
      </c>
      <c r="I56" t="s">
        <v>27</v>
      </c>
      <c r="J56" t="s">
        <v>118</v>
      </c>
      <c r="K56">
        <v>1</v>
      </c>
      <c r="L56" s="4">
        <v>4999.55</v>
      </c>
      <c r="M56">
        <v>622.37</v>
      </c>
    </row>
    <row r="57" spans="1:13" x14ac:dyDescent="0.25">
      <c r="A57">
        <v>10056</v>
      </c>
      <c r="B57" t="str">
        <f t="shared" si="0"/>
        <v>Apr</v>
      </c>
      <c r="C57">
        <f t="shared" si="1"/>
        <v>4</v>
      </c>
      <c r="D57" t="s">
        <v>148</v>
      </c>
      <c r="E57" t="s">
        <v>149</v>
      </c>
      <c r="F57" t="s">
        <v>13</v>
      </c>
      <c r="G57" t="s">
        <v>46</v>
      </c>
      <c r="H57" t="s">
        <v>71</v>
      </c>
      <c r="I57" t="s">
        <v>22</v>
      </c>
      <c r="J57" t="s">
        <v>48</v>
      </c>
      <c r="K57">
        <v>4</v>
      </c>
      <c r="L57" s="4">
        <v>718.48</v>
      </c>
      <c r="M57">
        <v>99.78</v>
      </c>
    </row>
    <row r="58" spans="1:13" x14ac:dyDescent="0.25">
      <c r="A58">
        <v>10057</v>
      </c>
      <c r="B58" t="str">
        <f t="shared" si="0"/>
        <v>Jun</v>
      </c>
      <c r="C58">
        <f t="shared" si="1"/>
        <v>6</v>
      </c>
      <c r="D58" t="s">
        <v>65</v>
      </c>
      <c r="E58" t="s">
        <v>150</v>
      </c>
      <c r="F58" t="s">
        <v>13</v>
      </c>
      <c r="G58" t="s">
        <v>32</v>
      </c>
      <c r="H58" t="s">
        <v>54</v>
      </c>
      <c r="I58" t="s">
        <v>22</v>
      </c>
      <c r="J58" t="s">
        <v>23</v>
      </c>
      <c r="K58">
        <v>3</v>
      </c>
      <c r="L58" s="4">
        <v>4827.13</v>
      </c>
      <c r="M58">
        <v>369.24</v>
      </c>
    </row>
    <row r="59" spans="1:13" x14ac:dyDescent="0.25">
      <c r="A59">
        <v>10058</v>
      </c>
      <c r="B59" t="str">
        <f t="shared" si="0"/>
        <v>Dec</v>
      </c>
      <c r="C59">
        <f t="shared" si="1"/>
        <v>12</v>
      </c>
      <c r="D59" t="s">
        <v>151</v>
      </c>
      <c r="E59" t="s">
        <v>36</v>
      </c>
      <c r="F59" t="s">
        <v>31</v>
      </c>
      <c r="G59" t="s">
        <v>20</v>
      </c>
      <c r="H59" t="s">
        <v>76</v>
      </c>
      <c r="I59" t="s">
        <v>16</v>
      </c>
      <c r="J59" t="s">
        <v>43</v>
      </c>
      <c r="K59">
        <v>2</v>
      </c>
      <c r="L59" s="4">
        <v>3001.28</v>
      </c>
      <c r="M59">
        <v>748.97</v>
      </c>
    </row>
    <row r="60" spans="1:13" x14ac:dyDescent="0.25">
      <c r="A60">
        <v>10059</v>
      </c>
      <c r="B60" t="str">
        <f t="shared" si="0"/>
        <v>Aug</v>
      </c>
      <c r="C60">
        <f t="shared" si="1"/>
        <v>8</v>
      </c>
      <c r="D60" t="s">
        <v>152</v>
      </c>
      <c r="E60" t="s">
        <v>153</v>
      </c>
      <c r="F60" t="s">
        <v>31</v>
      </c>
      <c r="G60" t="s">
        <v>14</v>
      </c>
      <c r="H60" t="s">
        <v>15</v>
      </c>
      <c r="I60" t="s">
        <v>27</v>
      </c>
      <c r="J60" t="s">
        <v>77</v>
      </c>
      <c r="K60">
        <v>6</v>
      </c>
      <c r="L60" s="4">
        <v>437.89</v>
      </c>
      <c r="M60">
        <v>91.52</v>
      </c>
    </row>
    <row r="61" spans="1:13" x14ac:dyDescent="0.25">
      <c r="A61">
        <v>10060</v>
      </c>
      <c r="B61" t="str">
        <f t="shared" si="0"/>
        <v>May</v>
      </c>
      <c r="C61">
        <f t="shared" si="1"/>
        <v>5</v>
      </c>
      <c r="D61" t="s">
        <v>154</v>
      </c>
      <c r="E61" t="s">
        <v>120</v>
      </c>
      <c r="F61" t="s">
        <v>13</v>
      </c>
      <c r="G61" t="s">
        <v>14</v>
      </c>
      <c r="H61" t="s">
        <v>37</v>
      </c>
      <c r="I61" t="s">
        <v>27</v>
      </c>
      <c r="J61" t="s">
        <v>77</v>
      </c>
      <c r="K61">
        <v>3</v>
      </c>
      <c r="L61" s="4">
        <v>2233.89</v>
      </c>
      <c r="M61">
        <v>424.95</v>
      </c>
    </row>
    <row r="62" spans="1:13" x14ac:dyDescent="0.25">
      <c r="A62">
        <v>10061</v>
      </c>
      <c r="B62" t="str">
        <f t="shared" si="0"/>
        <v>Aug</v>
      </c>
      <c r="C62">
        <f t="shared" si="1"/>
        <v>8</v>
      </c>
      <c r="D62" t="s">
        <v>155</v>
      </c>
      <c r="E62" t="s">
        <v>156</v>
      </c>
      <c r="F62" t="s">
        <v>31</v>
      </c>
      <c r="G62" t="s">
        <v>20</v>
      </c>
      <c r="H62" t="s">
        <v>76</v>
      </c>
      <c r="I62" t="s">
        <v>27</v>
      </c>
      <c r="J62" t="s">
        <v>28</v>
      </c>
      <c r="K62">
        <v>6</v>
      </c>
      <c r="L62" s="4">
        <v>4273.3900000000003</v>
      </c>
      <c r="M62">
        <v>1092.51</v>
      </c>
    </row>
    <row r="63" spans="1:13" x14ac:dyDescent="0.25">
      <c r="A63">
        <v>10062</v>
      </c>
      <c r="B63" t="str">
        <f t="shared" si="0"/>
        <v>Jun</v>
      </c>
      <c r="C63">
        <f t="shared" si="1"/>
        <v>6</v>
      </c>
      <c r="D63" t="s">
        <v>157</v>
      </c>
      <c r="E63" t="s">
        <v>158</v>
      </c>
      <c r="F63" t="s">
        <v>13</v>
      </c>
      <c r="G63" t="s">
        <v>20</v>
      </c>
      <c r="H63" t="s">
        <v>76</v>
      </c>
      <c r="I63" t="s">
        <v>22</v>
      </c>
      <c r="J63" t="s">
        <v>34</v>
      </c>
      <c r="K63">
        <v>6</v>
      </c>
      <c r="L63" s="4">
        <v>991.02</v>
      </c>
      <c r="M63">
        <v>22.32</v>
      </c>
    </row>
    <row r="64" spans="1:13" x14ac:dyDescent="0.25">
      <c r="A64">
        <v>10063</v>
      </c>
      <c r="B64" t="str">
        <f t="shared" si="0"/>
        <v>May</v>
      </c>
      <c r="C64">
        <f t="shared" si="1"/>
        <v>5</v>
      </c>
      <c r="D64" t="s">
        <v>159</v>
      </c>
      <c r="E64" t="s">
        <v>160</v>
      </c>
      <c r="F64" t="s">
        <v>31</v>
      </c>
      <c r="G64" t="s">
        <v>32</v>
      </c>
      <c r="H64" t="s">
        <v>33</v>
      </c>
      <c r="I64" t="s">
        <v>16</v>
      </c>
      <c r="J64" t="s">
        <v>43</v>
      </c>
      <c r="K64">
        <v>2</v>
      </c>
      <c r="L64" s="4">
        <v>1282.6400000000001</v>
      </c>
      <c r="M64">
        <v>138.94</v>
      </c>
    </row>
    <row r="65" spans="1:13" x14ac:dyDescent="0.25">
      <c r="A65">
        <v>10064</v>
      </c>
      <c r="B65" t="str">
        <f t="shared" si="0"/>
        <v>Oct</v>
      </c>
      <c r="C65">
        <f t="shared" si="1"/>
        <v>10</v>
      </c>
      <c r="D65" t="s">
        <v>161</v>
      </c>
      <c r="E65" t="s">
        <v>162</v>
      </c>
      <c r="F65" t="s">
        <v>31</v>
      </c>
      <c r="G65" t="s">
        <v>20</v>
      </c>
      <c r="H65" t="s">
        <v>76</v>
      </c>
      <c r="I65" t="s">
        <v>22</v>
      </c>
      <c r="J65" t="s">
        <v>23</v>
      </c>
      <c r="K65">
        <v>5</v>
      </c>
      <c r="L65" s="4">
        <v>1185.82</v>
      </c>
      <c r="M65">
        <v>233.75</v>
      </c>
    </row>
    <row r="66" spans="1:13" x14ac:dyDescent="0.25">
      <c r="A66">
        <v>10065</v>
      </c>
      <c r="B66" t="str">
        <f t="shared" ref="B66:B129" si="2">TEXT(D66,"mmm")</f>
        <v>Mar</v>
      </c>
      <c r="C66">
        <f t="shared" ref="C66:C129" si="3">MONTH(D66)</f>
        <v>3</v>
      </c>
      <c r="D66" t="s">
        <v>163</v>
      </c>
      <c r="E66" t="s">
        <v>164</v>
      </c>
      <c r="F66" t="s">
        <v>26</v>
      </c>
      <c r="G66" t="s">
        <v>32</v>
      </c>
      <c r="H66" t="s">
        <v>54</v>
      </c>
      <c r="I66" t="s">
        <v>16</v>
      </c>
      <c r="J66" t="s">
        <v>17</v>
      </c>
      <c r="K66">
        <v>6</v>
      </c>
      <c r="L66" s="4">
        <v>3543.99</v>
      </c>
      <c r="M66">
        <v>392.09</v>
      </c>
    </row>
    <row r="67" spans="1:13" x14ac:dyDescent="0.25">
      <c r="A67">
        <v>10066</v>
      </c>
      <c r="B67" t="str">
        <f t="shared" si="2"/>
        <v>Sep</v>
      </c>
      <c r="C67">
        <f t="shared" si="3"/>
        <v>9</v>
      </c>
      <c r="D67" t="s">
        <v>165</v>
      </c>
      <c r="E67" t="s">
        <v>166</v>
      </c>
      <c r="F67" t="s">
        <v>31</v>
      </c>
      <c r="G67" t="s">
        <v>32</v>
      </c>
      <c r="H67" t="s">
        <v>33</v>
      </c>
      <c r="I67" t="s">
        <v>16</v>
      </c>
      <c r="J67" t="s">
        <v>43</v>
      </c>
      <c r="K67">
        <v>4</v>
      </c>
      <c r="L67" s="4">
        <v>1160.28</v>
      </c>
      <c r="M67">
        <v>126.01</v>
      </c>
    </row>
    <row r="68" spans="1:13" x14ac:dyDescent="0.25">
      <c r="A68">
        <v>10067</v>
      </c>
      <c r="B68" t="str">
        <f t="shared" si="2"/>
        <v>May</v>
      </c>
      <c r="C68">
        <f t="shared" si="3"/>
        <v>5</v>
      </c>
      <c r="D68" t="s">
        <v>167</v>
      </c>
      <c r="E68" t="s">
        <v>168</v>
      </c>
      <c r="F68" t="s">
        <v>26</v>
      </c>
      <c r="G68" t="s">
        <v>14</v>
      </c>
      <c r="H68" t="s">
        <v>15</v>
      </c>
      <c r="I68" t="s">
        <v>27</v>
      </c>
      <c r="J68" t="s">
        <v>104</v>
      </c>
      <c r="K68">
        <v>6</v>
      </c>
      <c r="L68" s="4">
        <v>979.26</v>
      </c>
      <c r="M68">
        <v>-0.99</v>
      </c>
    </row>
    <row r="69" spans="1:13" x14ac:dyDescent="0.25">
      <c r="A69">
        <v>10068</v>
      </c>
      <c r="B69" t="str">
        <f t="shared" si="2"/>
        <v>Aug</v>
      </c>
      <c r="C69">
        <f t="shared" si="3"/>
        <v>8</v>
      </c>
      <c r="D69" t="s">
        <v>169</v>
      </c>
      <c r="E69" t="s">
        <v>170</v>
      </c>
      <c r="F69" t="s">
        <v>26</v>
      </c>
      <c r="G69" t="s">
        <v>32</v>
      </c>
      <c r="H69" t="s">
        <v>33</v>
      </c>
      <c r="I69" t="s">
        <v>16</v>
      </c>
      <c r="J69" t="s">
        <v>51</v>
      </c>
      <c r="K69">
        <v>2</v>
      </c>
      <c r="L69" s="4">
        <v>4376.33</v>
      </c>
      <c r="M69">
        <v>799.95</v>
      </c>
    </row>
    <row r="70" spans="1:13" x14ac:dyDescent="0.25">
      <c r="A70">
        <v>10069</v>
      </c>
      <c r="B70" t="str">
        <f t="shared" si="2"/>
        <v>Jan</v>
      </c>
      <c r="C70">
        <f t="shared" si="3"/>
        <v>1</v>
      </c>
      <c r="D70" t="s">
        <v>171</v>
      </c>
      <c r="E70" t="s">
        <v>172</v>
      </c>
      <c r="F70" t="s">
        <v>26</v>
      </c>
      <c r="G70" t="s">
        <v>14</v>
      </c>
      <c r="H70" t="s">
        <v>37</v>
      </c>
      <c r="I70" t="s">
        <v>27</v>
      </c>
      <c r="J70" t="s">
        <v>118</v>
      </c>
      <c r="K70">
        <v>2</v>
      </c>
      <c r="L70" s="4">
        <v>2063.4699999999998</v>
      </c>
      <c r="M70">
        <v>78.45</v>
      </c>
    </row>
    <row r="71" spans="1:13" x14ac:dyDescent="0.25">
      <c r="A71">
        <v>10070</v>
      </c>
      <c r="B71" t="str">
        <f t="shared" si="2"/>
        <v>Sep</v>
      </c>
      <c r="C71">
        <f t="shared" si="3"/>
        <v>9</v>
      </c>
      <c r="D71" t="s">
        <v>88</v>
      </c>
      <c r="E71" t="s">
        <v>173</v>
      </c>
      <c r="F71" t="s">
        <v>31</v>
      </c>
      <c r="G71" t="s">
        <v>32</v>
      </c>
      <c r="H71" t="s">
        <v>33</v>
      </c>
      <c r="I71" t="s">
        <v>22</v>
      </c>
      <c r="J71" t="s">
        <v>23</v>
      </c>
      <c r="K71">
        <v>7</v>
      </c>
      <c r="L71" s="4">
        <v>3070.96</v>
      </c>
      <c r="M71">
        <v>738.06</v>
      </c>
    </row>
    <row r="72" spans="1:13" x14ac:dyDescent="0.25">
      <c r="A72">
        <v>10071</v>
      </c>
      <c r="B72" t="str">
        <f t="shared" si="2"/>
        <v>Feb</v>
      </c>
      <c r="C72">
        <f t="shared" si="3"/>
        <v>2</v>
      </c>
      <c r="D72" t="s">
        <v>174</v>
      </c>
      <c r="E72" t="s">
        <v>175</v>
      </c>
      <c r="F72" t="s">
        <v>26</v>
      </c>
      <c r="G72" t="s">
        <v>20</v>
      </c>
      <c r="H72" t="s">
        <v>76</v>
      </c>
      <c r="I72" t="s">
        <v>16</v>
      </c>
      <c r="J72" t="s">
        <v>51</v>
      </c>
      <c r="K72">
        <v>5</v>
      </c>
      <c r="L72" s="4">
        <v>2886.28</v>
      </c>
      <c r="M72">
        <v>91.76</v>
      </c>
    </row>
    <row r="73" spans="1:13" x14ac:dyDescent="0.25">
      <c r="A73">
        <v>10072</v>
      </c>
      <c r="B73" t="str">
        <f t="shared" si="2"/>
        <v>Jul</v>
      </c>
      <c r="C73">
        <f t="shared" si="3"/>
        <v>7</v>
      </c>
      <c r="D73" t="s">
        <v>176</v>
      </c>
      <c r="E73" t="s">
        <v>177</v>
      </c>
      <c r="F73" t="s">
        <v>13</v>
      </c>
      <c r="G73" t="s">
        <v>46</v>
      </c>
      <c r="H73" t="s">
        <v>47</v>
      </c>
      <c r="I73" t="s">
        <v>16</v>
      </c>
      <c r="J73" t="s">
        <v>81</v>
      </c>
      <c r="K73">
        <v>3</v>
      </c>
      <c r="L73" s="4">
        <v>1275.3399999999999</v>
      </c>
      <c r="M73">
        <v>224.11</v>
      </c>
    </row>
    <row r="74" spans="1:13" x14ac:dyDescent="0.25">
      <c r="A74">
        <v>10073</v>
      </c>
      <c r="B74" t="str">
        <f t="shared" si="2"/>
        <v>Dec</v>
      </c>
      <c r="C74">
        <f t="shared" si="3"/>
        <v>12</v>
      </c>
      <c r="D74" t="s">
        <v>96</v>
      </c>
      <c r="E74" t="s">
        <v>178</v>
      </c>
      <c r="F74" t="s">
        <v>31</v>
      </c>
      <c r="G74" t="s">
        <v>20</v>
      </c>
      <c r="H74" t="s">
        <v>76</v>
      </c>
      <c r="I74" t="s">
        <v>22</v>
      </c>
      <c r="J74" t="s">
        <v>48</v>
      </c>
      <c r="K74">
        <v>5</v>
      </c>
      <c r="L74" s="4">
        <v>3564.08</v>
      </c>
      <c r="M74">
        <v>759.18</v>
      </c>
    </row>
    <row r="75" spans="1:13" x14ac:dyDescent="0.25">
      <c r="A75">
        <v>10074</v>
      </c>
      <c r="B75" t="str">
        <f t="shared" si="2"/>
        <v>Mar</v>
      </c>
      <c r="C75">
        <f t="shared" si="3"/>
        <v>3</v>
      </c>
      <c r="D75" t="s">
        <v>179</v>
      </c>
      <c r="E75" t="s">
        <v>180</v>
      </c>
      <c r="F75" t="s">
        <v>31</v>
      </c>
      <c r="G75" t="s">
        <v>46</v>
      </c>
      <c r="H75" t="s">
        <v>47</v>
      </c>
      <c r="I75" t="s">
        <v>22</v>
      </c>
      <c r="J75" t="s">
        <v>48</v>
      </c>
      <c r="K75">
        <v>3</v>
      </c>
      <c r="L75" s="4">
        <v>4551.22</v>
      </c>
      <c r="M75">
        <v>1160.97</v>
      </c>
    </row>
    <row r="76" spans="1:13" x14ac:dyDescent="0.25">
      <c r="A76">
        <v>10075</v>
      </c>
      <c r="B76" t="str">
        <f t="shared" si="2"/>
        <v>Sep</v>
      </c>
      <c r="C76">
        <f t="shared" si="3"/>
        <v>9</v>
      </c>
      <c r="D76" t="s">
        <v>181</v>
      </c>
      <c r="E76" t="s">
        <v>182</v>
      </c>
      <c r="F76" t="s">
        <v>26</v>
      </c>
      <c r="G76" t="s">
        <v>32</v>
      </c>
      <c r="H76" t="s">
        <v>54</v>
      </c>
      <c r="I76" t="s">
        <v>22</v>
      </c>
      <c r="J76" t="s">
        <v>34</v>
      </c>
      <c r="K76">
        <v>5</v>
      </c>
      <c r="L76" s="4">
        <v>3528.7</v>
      </c>
      <c r="M76">
        <v>957.99</v>
      </c>
    </row>
    <row r="77" spans="1:13" x14ac:dyDescent="0.25">
      <c r="A77">
        <v>10076</v>
      </c>
      <c r="B77" t="str">
        <f t="shared" si="2"/>
        <v>Oct</v>
      </c>
      <c r="C77">
        <f t="shared" si="3"/>
        <v>10</v>
      </c>
      <c r="D77" t="s">
        <v>183</v>
      </c>
      <c r="E77" t="s">
        <v>184</v>
      </c>
      <c r="F77" t="s">
        <v>26</v>
      </c>
      <c r="G77" t="s">
        <v>14</v>
      </c>
      <c r="H77" t="s">
        <v>37</v>
      </c>
      <c r="I77" t="s">
        <v>16</v>
      </c>
      <c r="J77" t="s">
        <v>17</v>
      </c>
      <c r="K77">
        <v>5</v>
      </c>
      <c r="L77" s="4">
        <v>226.74</v>
      </c>
      <c r="M77">
        <v>-43.12</v>
      </c>
    </row>
    <row r="78" spans="1:13" x14ac:dyDescent="0.25">
      <c r="A78">
        <v>10077</v>
      </c>
      <c r="B78" t="str">
        <f t="shared" si="2"/>
        <v>Nov</v>
      </c>
      <c r="C78">
        <f t="shared" si="3"/>
        <v>11</v>
      </c>
      <c r="D78" t="s">
        <v>185</v>
      </c>
      <c r="E78" t="s">
        <v>186</v>
      </c>
      <c r="F78" t="s">
        <v>31</v>
      </c>
      <c r="G78" t="s">
        <v>32</v>
      </c>
      <c r="H78" t="s">
        <v>33</v>
      </c>
      <c r="I78" t="s">
        <v>22</v>
      </c>
      <c r="J78" t="s">
        <v>34</v>
      </c>
      <c r="K78">
        <v>8</v>
      </c>
      <c r="L78" s="4">
        <v>4588.76</v>
      </c>
      <c r="M78">
        <v>379.11</v>
      </c>
    </row>
    <row r="79" spans="1:13" x14ac:dyDescent="0.25">
      <c r="A79">
        <v>10078</v>
      </c>
      <c r="B79" t="str">
        <f t="shared" si="2"/>
        <v>Jul</v>
      </c>
      <c r="C79">
        <f t="shared" si="3"/>
        <v>7</v>
      </c>
      <c r="D79" t="s">
        <v>187</v>
      </c>
      <c r="E79" t="s">
        <v>188</v>
      </c>
      <c r="F79" t="s">
        <v>31</v>
      </c>
      <c r="G79" t="s">
        <v>14</v>
      </c>
      <c r="H79" t="s">
        <v>37</v>
      </c>
      <c r="I79" t="s">
        <v>27</v>
      </c>
      <c r="J79" t="s">
        <v>77</v>
      </c>
      <c r="K79">
        <v>6</v>
      </c>
      <c r="L79" s="4">
        <v>1673.19</v>
      </c>
      <c r="M79">
        <v>111.33</v>
      </c>
    </row>
    <row r="80" spans="1:13" x14ac:dyDescent="0.25">
      <c r="A80">
        <v>10079</v>
      </c>
      <c r="B80" t="str">
        <f t="shared" si="2"/>
        <v>Jul</v>
      </c>
      <c r="C80">
        <f t="shared" si="3"/>
        <v>7</v>
      </c>
      <c r="D80" t="s">
        <v>189</v>
      </c>
      <c r="E80" t="s">
        <v>190</v>
      </c>
      <c r="F80" t="s">
        <v>13</v>
      </c>
      <c r="G80" t="s">
        <v>32</v>
      </c>
      <c r="H80" t="s">
        <v>54</v>
      </c>
      <c r="I80" t="s">
        <v>16</v>
      </c>
      <c r="J80" t="s">
        <v>81</v>
      </c>
      <c r="K80">
        <v>8</v>
      </c>
      <c r="L80" s="4">
        <v>531.49</v>
      </c>
      <c r="M80">
        <v>48.52</v>
      </c>
    </row>
    <row r="81" spans="1:13" x14ac:dyDescent="0.25">
      <c r="A81">
        <v>10080</v>
      </c>
      <c r="B81" t="str">
        <f t="shared" si="2"/>
        <v>Aug</v>
      </c>
      <c r="C81">
        <f t="shared" si="3"/>
        <v>8</v>
      </c>
      <c r="D81" t="s">
        <v>191</v>
      </c>
      <c r="E81" t="s">
        <v>192</v>
      </c>
      <c r="F81" t="s">
        <v>26</v>
      </c>
      <c r="G81" t="s">
        <v>14</v>
      </c>
      <c r="H81" t="s">
        <v>37</v>
      </c>
      <c r="I81" t="s">
        <v>27</v>
      </c>
      <c r="J81" t="s">
        <v>118</v>
      </c>
      <c r="K81">
        <v>4</v>
      </c>
      <c r="L81" s="4">
        <v>2640.35</v>
      </c>
      <c r="M81">
        <v>493.16</v>
      </c>
    </row>
    <row r="82" spans="1:13" x14ac:dyDescent="0.25">
      <c r="A82">
        <v>10081</v>
      </c>
      <c r="B82" t="str">
        <f t="shared" si="2"/>
        <v>Nov</v>
      </c>
      <c r="C82">
        <f t="shared" si="3"/>
        <v>11</v>
      </c>
      <c r="D82" t="s">
        <v>193</v>
      </c>
      <c r="E82" t="s">
        <v>194</v>
      </c>
      <c r="F82" t="s">
        <v>26</v>
      </c>
      <c r="G82" t="s">
        <v>46</v>
      </c>
      <c r="H82" t="s">
        <v>47</v>
      </c>
      <c r="I82" t="s">
        <v>16</v>
      </c>
      <c r="J82" t="s">
        <v>43</v>
      </c>
      <c r="K82">
        <v>5</v>
      </c>
      <c r="L82" s="4">
        <v>2246.77</v>
      </c>
      <c r="M82">
        <v>492.4</v>
      </c>
    </row>
    <row r="83" spans="1:13" x14ac:dyDescent="0.25">
      <c r="A83">
        <v>10082</v>
      </c>
      <c r="B83" t="str">
        <f t="shared" si="2"/>
        <v>Aug</v>
      </c>
      <c r="C83">
        <f t="shared" si="3"/>
        <v>8</v>
      </c>
      <c r="D83" t="s">
        <v>195</v>
      </c>
      <c r="E83" t="s">
        <v>196</v>
      </c>
      <c r="F83" t="s">
        <v>13</v>
      </c>
      <c r="G83" t="s">
        <v>46</v>
      </c>
      <c r="H83" t="s">
        <v>47</v>
      </c>
      <c r="I83" t="s">
        <v>16</v>
      </c>
      <c r="J83" t="s">
        <v>81</v>
      </c>
      <c r="K83">
        <v>7</v>
      </c>
      <c r="L83" s="4">
        <v>556.73</v>
      </c>
      <c r="M83">
        <v>74.650000000000006</v>
      </c>
    </row>
    <row r="84" spans="1:13" x14ac:dyDescent="0.25">
      <c r="A84">
        <v>10083</v>
      </c>
      <c r="B84" t="str">
        <f t="shared" si="2"/>
        <v>Aug</v>
      </c>
      <c r="C84">
        <f t="shared" si="3"/>
        <v>8</v>
      </c>
      <c r="D84" t="s">
        <v>197</v>
      </c>
      <c r="E84" t="s">
        <v>198</v>
      </c>
      <c r="F84" t="s">
        <v>26</v>
      </c>
      <c r="G84" t="s">
        <v>46</v>
      </c>
      <c r="H84" t="s">
        <v>47</v>
      </c>
      <c r="I84" t="s">
        <v>16</v>
      </c>
      <c r="J84" t="s">
        <v>17</v>
      </c>
      <c r="K84">
        <v>5</v>
      </c>
      <c r="L84" s="4">
        <v>2135.9</v>
      </c>
      <c r="M84">
        <v>317.22000000000003</v>
      </c>
    </row>
    <row r="85" spans="1:13" x14ac:dyDescent="0.25">
      <c r="A85">
        <v>10084</v>
      </c>
      <c r="B85" t="str">
        <f t="shared" si="2"/>
        <v>Sep</v>
      </c>
      <c r="C85">
        <f t="shared" si="3"/>
        <v>9</v>
      </c>
      <c r="D85" t="s">
        <v>199</v>
      </c>
      <c r="E85" t="s">
        <v>200</v>
      </c>
      <c r="F85" t="s">
        <v>26</v>
      </c>
      <c r="G85" t="s">
        <v>20</v>
      </c>
      <c r="H85" t="s">
        <v>21</v>
      </c>
      <c r="I85" t="s">
        <v>16</v>
      </c>
      <c r="J85" t="s">
        <v>43</v>
      </c>
      <c r="K85">
        <v>2</v>
      </c>
      <c r="L85" s="4">
        <v>1453.61</v>
      </c>
      <c r="M85">
        <v>318.27999999999997</v>
      </c>
    </row>
    <row r="86" spans="1:13" x14ac:dyDescent="0.25">
      <c r="A86">
        <v>10085</v>
      </c>
      <c r="B86" t="str">
        <f t="shared" si="2"/>
        <v>Oct</v>
      </c>
      <c r="C86">
        <f t="shared" si="3"/>
        <v>10</v>
      </c>
      <c r="D86" t="s">
        <v>201</v>
      </c>
      <c r="E86" t="s">
        <v>202</v>
      </c>
      <c r="F86" t="s">
        <v>31</v>
      </c>
      <c r="G86" t="s">
        <v>32</v>
      </c>
      <c r="H86" t="s">
        <v>54</v>
      </c>
      <c r="I86" t="s">
        <v>16</v>
      </c>
      <c r="J86" t="s">
        <v>51</v>
      </c>
      <c r="K86">
        <v>3</v>
      </c>
      <c r="L86" s="4">
        <v>2288.08</v>
      </c>
      <c r="M86">
        <v>358.21</v>
      </c>
    </row>
    <row r="87" spans="1:13" x14ac:dyDescent="0.25">
      <c r="A87">
        <v>10086</v>
      </c>
      <c r="B87" t="str">
        <f t="shared" si="2"/>
        <v>Aug</v>
      </c>
      <c r="C87">
        <f t="shared" si="3"/>
        <v>8</v>
      </c>
      <c r="D87" t="s">
        <v>203</v>
      </c>
      <c r="E87" t="s">
        <v>204</v>
      </c>
      <c r="F87" t="s">
        <v>31</v>
      </c>
      <c r="G87" t="s">
        <v>32</v>
      </c>
      <c r="H87" t="s">
        <v>33</v>
      </c>
      <c r="I87" t="s">
        <v>16</v>
      </c>
      <c r="J87" t="s">
        <v>43</v>
      </c>
      <c r="K87">
        <v>7</v>
      </c>
      <c r="L87" s="4">
        <v>1244.46</v>
      </c>
      <c r="M87">
        <v>299.14</v>
      </c>
    </row>
    <row r="88" spans="1:13" x14ac:dyDescent="0.25">
      <c r="A88">
        <v>10087</v>
      </c>
      <c r="B88" t="str">
        <f t="shared" si="2"/>
        <v>Aug</v>
      </c>
      <c r="C88">
        <f t="shared" si="3"/>
        <v>8</v>
      </c>
      <c r="D88" t="s">
        <v>169</v>
      </c>
      <c r="E88" t="s">
        <v>205</v>
      </c>
      <c r="F88" t="s">
        <v>13</v>
      </c>
      <c r="G88" t="s">
        <v>20</v>
      </c>
      <c r="H88" t="s">
        <v>21</v>
      </c>
      <c r="I88" t="s">
        <v>27</v>
      </c>
      <c r="J88" t="s">
        <v>118</v>
      </c>
      <c r="K88">
        <v>3</v>
      </c>
      <c r="L88" s="4">
        <v>2561.23</v>
      </c>
      <c r="M88">
        <v>418.99</v>
      </c>
    </row>
    <row r="89" spans="1:13" x14ac:dyDescent="0.25">
      <c r="A89">
        <v>10088</v>
      </c>
      <c r="B89" t="str">
        <f t="shared" si="2"/>
        <v>May</v>
      </c>
      <c r="C89">
        <f t="shared" si="3"/>
        <v>5</v>
      </c>
      <c r="D89" t="s">
        <v>206</v>
      </c>
      <c r="E89" t="s">
        <v>207</v>
      </c>
      <c r="F89" t="s">
        <v>13</v>
      </c>
      <c r="G89" t="s">
        <v>20</v>
      </c>
      <c r="H89" t="s">
        <v>21</v>
      </c>
      <c r="I89" t="s">
        <v>16</v>
      </c>
      <c r="J89" t="s">
        <v>43</v>
      </c>
      <c r="K89">
        <v>7</v>
      </c>
      <c r="L89" s="4">
        <v>4367.57</v>
      </c>
      <c r="M89">
        <v>1269.98</v>
      </c>
    </row>
    <row r="90" spans="1:13" x14ac:dyDescent="0.25">
      <c r="A90">
        <v>10089</v>
      </c>
      <c r="B90" t="str">
        <f t="shared" si="2"/>
        <v>Oct</v>
      </c>
      <c r="C90">
        <f t="shared" si="3"/>
        <v>10</v>
      </c>
      <c r="D90" t="s">
        <v>84</v>
      </c>
      <c r="E90" t="s">
        <v>208</v>
      </c>
      <c r="F90" t="s">
        <v>13</v>
      </c>
      <c r="G90" t="s">
        <v>20</v>
      </c>
      <c r="H90" t="s">
        <v>21</v>
      </c>
      <c r="I90" t="s">
        <v>27</v>
      </c>
      <c r="J90" t="s">
        <v>77</v>
      </c>
      <c r="K90">
        <v>6</v>
      </c>
      <c r="L90" s="4">
        <v>3171.32</v>
      </c>
      <c r="M90">
        <v>813.36</v>
      </c>
    </row>
    <row r="91" spans="1:13" x14ac:dyDescent="0.25">
      <c r="A91">
        <v>10090</v>
      </c>
      <c r="B91" t="str">
        <f t="shared" si="2"/>
        <v>Nov</v>
      </c>
      <c r="C91">
        <f t="shared" si="3"/>
        <v>11</v>
      </c>
      <c r="D91" t="s">
        <v>209</v>
      </c>
      <c r="E91" t="s">
        <v>210</v>
      </c>
      <c r="F91" t="s">
        <v>26</v>
      </c>
      <c r="G91" t="s">
        <v>14</v>
      </c>
      <c r="H91" t="s">
        <v>15</v>
      </c>
      <c r="I91" t="s">
        <v>16</v>
      </c>
      <c r="J91" t="s">
        <v>17</v>
      </c>
      <c r="K91">
        <v>4</v>
      </c>
      <c r="L91" s="4">
        <v>3759.16</v>
      </c>
      <c r="M91">
        <v>585.96</v>
      </c>
    </row>
    <row r="92" spans="1:13" x14ac:dyDescent="0.25">
      <c r="A92">
        <v>10091</v>
      </c>
      <c r="B92" t="str">
        <f t="shared" si="2"/>
        <v>Jul</v>
      </c>
      <c r="C92">
        <f t="shared" si="3"/>
        <v>7</v>
      </c>
      <c r="D92" t="s">
        <v>211</v>
      </c>
      <c r="E92" t="s">
        <v>212</v>
      </c>
      <c r="F92" t="s">
        <v>26</v>
      </c>
      <c r="G92" t="s">
        <v>20</v>
      </c>
      <c r="H92" t="s">
        <v>21</v>
      </c>
      <c r="I92" t="s">
        <v>16</v>
      </c>
      <c r="J92" t="s">
        <v>17</v>
      </c>
      <c r="K92">
        <v>1</v>
      </c>
      <c r="L92" s="4">
        <v>325.36</v>
      </c>
      <c r="M92">
        <v>51.69</v>
      </c>
    </row>
    <row r="93" spans="1:13" x14ac:dyDescent="0.25">
      <c r="A93">
        <v>10092</v>
      </c>
      <c r="B93" t="str">
        <f t="shared" si="2"/>
        <v>Dec</v>
      </c>
      <c r="C93">
        <f t="shared" si="3"/>
        <v>12</v>
      </c>
      <c r="D93" t="s">
        <v>213</v>
      </c>
      <c r="E93" t="s">
        <v>62</v>
      </c>
      <c r="F93" t="s">
        <v>31</v>
      </c>
      <c r="G93" t="s">
        <v>46</v>
      </c>
      <c r="H93" t="s">
        <v>47</v>
      </c>
      <c r="I93" t="s">
        <v>16</v>
      </c>
      <c r="J93" t="s">
        <v>43</v>
      </c>
      <c r="K93">
        <v>3</v>
      </c>
      <c r="L93" s="4">
        <v>957.84</v>
      </c>
      <c r="M93">
        <v>155.59</v>
      </c>
    </row>
    <row r="94" spans="1:13" x14ac:dyDescent="0.25">
      <c r="A94">
        <v>10093</v>
      </c>
      <c r="B94" t="str">
        <f t="shared" si="2"/>
        <v>May</v>
      </c>
      <c r="C94">
        <f t="shared" si="3"/>
        <v>5</v>
      </c>
      <c r="D94" t="s">
        <v>214</v>
      </c>
      <c r="E94" t="s">
        <v>215</v>
      </c>
      <c r="F94" t="s">
        <v>13</v>
      </c>
      <c r="G94" t="s">
        <v>46</v>
      </c>
      <c r="H94" t="s">
        <v>71</v>
      </c>
      <c r="I94" t="s">
        <v>27</v>
      </c>
      <c r="J94" t="s">
        <v>28</v>
      </c>
      <c r="K94">
        <v>8</v>
      </c>
      <c r="L94" s="4">
        <v>1351.1</v>
      </c>
      <c r="M94">
        <v>-9.73</v>
      </c>
    </row>
    <row r="95" spans="1:13" x14ac:dyDescent="0.25">
      <c r="A95">
        <v>10094</v>
      </c>
      <c r="B95" t="str">
        <f t="shared" si="2"/>
        <v>Jun</v>
      </c>
      <c r="C95">
        <f t="shared" si="3"/>
        <v>6</v>
      </c>
      <c r="D95" t="s">
        <v>216</v>
      </c>
      <c r="E95" t="s">
        <v>217</v>
      </c>
      <c r="F95" t="s">
        <v>31</v>
      </c>
      <c r="G95" t="s">
        <v>46</v>
      </c>
      <c r="H95" t="s">
        <v>71</v>
      </c>
      <c r="I95" t="s">
        <v>27</v>
      </c>
      <c r="J95" t="s">
        <v>28</v>
      </c>
      <c r="K95">
        <v>5</v>
      </c>
      <c r="L95" s="4">
        <v>3230.8</v>
      </c>
      <c r="M95">
        <v>479.24</v>
      </c>
    </row>
    <row r="96" spans="1:13" x14ac:dyDescent="0.25">
      <c r="A96">
        <v>10095</v>
      </c>
      <c r="B96" t="str">
        <f t="shared" si="2"/>
        <v>Dec</v>
      </c>
      <c r="C96">
        <f t="shared" si="3"/>
        <v>12</v>
      </c>
      <c r="D96" t="s">
        <v>63</v>
      </c>
      <c r="E96" t="s">
        <v>218</v>
      </c>
      <c r="F96" t="s">
        <v>31</v>
      </c>
      <c r="G96" t="s">
        <v>20</v>
      </c>
      <c r="H96" t="s">
        <v>21</v>
      </c>
      <c r="I96" t="s">
        <v>22</v>
      </c>
      <c r="J96" t="s">
        <v>34</v>
      </c>
      <c r="K96">
        <v>6</v>
      </c>
      <c r="L96" s="4">
        <v>2916.58</v>
      </c>
      <c r="M96">
        <v>840.12</v>
      </c>
    </row>
    <row r="97" spans="1:13" x14ac:dyDescent="0.25">
      <c r="A97">
        <v>10096</v>
      </c>
      <c r="B97" t="str">
        <f t="shared" si="2"/>
        <v>Apr</v>
      </c>
      <c r="C97">
        <f t="shared" si="3"/>
        <v>4</v>
      </c>
      <c r="D97" t="s">
        <v>219</v>
      </c>
      <c r="E97" t="s">
        <v>220</v>
      </c>
      <c r="F97" t="s">
        <v>26</v>
      </c>
      <c r="G97" t="s">
        <v>14</v>
      </c>
      <c r="H97" t="s">
        <v>15</v>
      </c>
      <c r="I97" t="s">
        <v>16</v>
      </c>
      <c r="J97" t="s">
        <v>51</v>
      </c>
      <c r="K97">
        <v>5</v>
      </c>
      <c r="L97" s="4">
        <v>3901.13</v>
      </c>
      <c r="M97">
        <v>339.29</v>
      </c>
    </row>
    <row r="98" spans="1:13" x14ac:dyDescent="0.25">
      <c r="A98">
        <v>10097</v>
      </c>
      <c r="B98" t="str">
        <f t="shared" si="2"/>
        <v>Mar</v>
      </c>
      <c r="C98">
        <f t="shared" si="3"/>
        <v>3</v>
      </c>
      <c r="D98" t="s">
        <v>221</v>
      </c>
      <c r="E98" t="s">
        <v>222</v>
      </c>
      <c r="F98" t="s">
        <v>31</v>
      </c>
      <c r="G98" t="s">
        <v>32</v>
      </c>
      <c r="H98" t="s">
        <v>33</v>
      </c>
      <c r="I98" t="s">
        <v>16</v>
      </c>
      <c r="J98" t="s">
        <v>81</v>
      </c>
      <c r="K98">
        <v>1</v>
      </c>
      <c r="L98" s="4">
        <v>1613.77</v>
      </c>
      <c r="M98">
        <v>200.58</v>
      </c>
    </row>
    <row r="99" spans="1:13" x14ac:dyDescent="0.25">
      <c r="A99">
        <v>10098</v>
      </c>
      <c r="B99" t="str">
        <f t="shared" si="2"/>
        <v>Sep</v>
      </c>
      <c r="C99">
        <f t="shared" si="3"/>
        <v>9</v>
      </c>
      <c r="D99" t="s">
        <v>223</v>
      </c>
      <c r="E99" t="s">
        <v>224</v>
      </c>
      <c r="F99" t="s">
        <v>26</v>
      </c>
      <c r="G99" t="s">
        <v>32</v>
      </c>
      <c r="H99" t="s">
        <v>54</v>
      </c>
      <c r="I99" t="s">
        <v>22</v>
      </c>
      <c r="J99" t="s">
        <v>48</v>
      </c>
      <c r="K99">
        <v>3</v>
      </c>
      <c r="L99" s="4">
        <v>3953.91</v>
      </c>
      <c r="M99">
        <v>1027.47</v>
      </c>
    </row>
    <row r="100" spans="1:13" x14ac:dyDescent="0.25">
      <c r="A100">
        <v>10099</v>
      </c>
      <c r="B100" t="str">
        <f t="shared" si="2"/>
        <v>Apr</v>
      </c>
      <c r="C100">
        <f t="shared" si="3"/>
        <v>4</v>
      </c>
      <c r="D100" t="s">
        <v>225</v>
      </c>
      <c r="E100" t="s">
        <v>226</v>
      </c>
      <c r="F100" t="s">
        <v>13</v>
      </c>
      <c r="G100" t="s">
        <v>32</v>
      </c>
      <c r="H100" t="s">
        <v>54</v>
      </c>
      <c r="I100" t="s">
        <v>27</v>
      </c>
      <c r="J100" t="s">
        <v>28</v>
      </c>
      <c r="K100">
        <v>2</v>
      </c>
      <c r="L100" s="4">
        <v>2394.8200000000002</v>
      </c>
      <c r="M100">
        <v>89.41</v>
      </c>
    </row>
    <row r="101" spans="1:13" x14ac:dyDescent="0.25">
      <c r="A101">
        <v>10100</v>
      </c>
      <c r="B101" t="str">
        <f t="shared" si="2"/>
        <v>Dec</v>
      </c>
      <c r="C101">
        <f t="shared" si="3"/>
        <v>12</v>
      </c>
      <c r="D101" t="s">
        <v>227</v>
      </c>
      <c r="E101" t="s">
        <v>228</v>
      </c>
      <c r="F101" t="s">
        <v>13</v>
      </c>
      <c r="G101" t="s">
        <v>20</v>
      </c>
      <c r="H101" t="s">
        <v>76</v>
      </c>
      <c r="I101" t="s">
        <v>22</v>
      </c>
      <c r="J101" t="s">
        <v>34</v>
      </c>
      <c r="K101">
        <v>1</v>
      </c>
      <c r="L101" s="4">
        <v>1395.85</v>
      </c>
      <c r="M101">
        <v>76.06</v>
      </c>
    </row>
    <row r="102" spans="1:13" x14ac:dyDescent="0.25">
      <c r="A102">
        <v>10101</v>
      </c>
      <c r="B102" t="str">
        <f t="shared" si="2"/>
        <v>Nov</v>
      </c>
      <c r="C102">
        <f t="shared" si="3"/>
        <v>11</v>
      </c>
      <c r="D102" t="s">
        <v>229</v>
      </c>
      <c r="E102" t="s">
        <v>230</v>
      </c>
      <c r="F102" t="s">
        <v>13</v>
      </c>
      <c r="G102" t="s">
        <v>20</v>
      </c>
      <c r="H102" t="s">
        <v>76</v>
      </c>
      <c r="I102" t="s">
        <v>22</v>
      </c>
      <c r="J102" t="s">
        <v>48</v>
      </c>
      <c r="K102">
        <v>8</v>
      </c>
      <c r="L102" s="4">
        <v>222.62</v>
      </c>
      <c r="M102">
        <v>4.2</v>
      </c>
    </row>
    <row r="103" spans="1:13" x14ac:dyDescent="0.25">
      <c r="A103">
        <v>10102</v>
      </c>
      <c r="B103" t="str">
        <f t="shared" si="2"/>
        <v>Sep</v>
      </c>
      <c r="C103">
        <f t="shared" si="3"/>
        <v>9</v>
      </c>
      <c r="D103" t="s">
        <v>181</v>
      </c>
      <c r="E103" t="s">
        <v>231</v>
      </c>
      <c r="F103" t="s">
        <v>26</v>
      </c>
      <c r="G103" t="s">
        <v>14</v>
      </c>
      <c r="H103" t="s">
        <v>37</v>
      </c>
      <c r="I103" t="s">
        <v>16</v>
      </c>
      <c r="J103" t="s">
        <v>17</v>
      </c>
      <c r="K103">
        <v>7</v>
      </c>
      <c r="L103" s="4">
        <v>671.71</v>
      </c>
      <c r="M103">
        <v>37.479999999999997</v>
      </c>
    </row>
    <row r="104" spans="1:13" x14ac:dyDescent="0.25">
      <c r="A104">
        <v>10103</v>
      </c>
      <c r="B104" t="str">
        <f t="shared" si="2"/>
        <v>Aug</v>
      </c>
      <c r="C104">
        <f t="shared" si="3"/>
        <v>8</v>
      </c>
      <c r="D104" t="s">
        <v>138</v>
      </c>
      <c r="E104" t="s">
        <v>184</v>
      </c>
      <c r="F104" t="s">
        <v>13</v>
      </c>
      <c r="G104" t="s">
        <v>46</v>
      </c>
      <c r="H104" t="s">
        <v>71</v>
      </c>
      <c r="I104" t="s">
        <v>27</v>
      </c>
      <c r="J104" t="s">
        <v>77</v>
      </c>
      <c r="K104">
        <v>6</v>
      </c>
      <c r="L104" s="4">
        <v>3385.38</v>
      </c>
      <c r="M104">
        <v>703.62</v>
      </c>
    </row>
    <row r="105" spans="1:13" x14ac:dyDescent="0.25">
      <c r="A105">
        <v>10104</v>
      </c>
      <c r="B105" t="str">
        <f t="shared" si="2"/>
        <v>Dec</v>
      </c>
      <c r="C105">
        <f t="shared" si="3"/>
        <v>12</v>
      </c>
      <c r="D105" t="s">
        <v>232</v>
      </c>
      <c r="E105" t="s">
        <v>233</v>
      </c>
      <c r="F105" t="s">
        <v>26</v>
      </c>
      <c r="G105" t="s">
        <v>46</v>
      </c>
      <c r="H105" t="s">
        <v>47</v>
      </c>
      <c r="I105" t="s">
        <v>16</v>
      </c>
      <c r="J105" t="s">
        <v>81</v>
      </c>
      <c r="K105">
        <v>8</v>
      </c>
      <c r="L105" s="4">
        <v>3116.7</v>
      </c>
      <c r="M105">
        <v>859.55</v>
      </c>
    </row>
    <row r="106" spans="1:13" x14ac:dyDescent="0.25">
      <c r="A106">
        <v>10105</v>
      </c>
      <c r="B106" t="str">
        <f t="shared" si="2"/>
        <v>Nov</v>
      </c>
      <c r="C106">
        <f t="shared" si="3"/>
        <v>11</v>
      </c>
      <c r="D106" t="s">
        <v>74</v>
      </c>
      <c r="E106" t="s">
        <v>234</v>
      </c>
      <c r="F106" t="s">
        <v>26</v>
      </c>
      <c r="G106" t="s">
        <v>20</v>
      </c>
      <c r="H106" t="s">
        <v>76</v>
      </c>
      <c r="I106" t="s">
        <v>22</v>
      </c>
      <c r="J106" t="s">
        <v>38</v>
      </c>
      <c r="K106">
        <v>2</v>
      </c>
      <c r="L106" s="4">
        <v>4906.55</v>
      </c>
      <c r="M106">
        <v>605.74</v>
      </c>
    </row>
    <row r="107" spans="1:13" x14ac:dyDescent="0.25">
      <c r="A107">
        <v>10106</v>
      </c>
      <c r="B107" t="str">
        <f t="shared" si="2"/>
        <v>Jan</v>
      </c>
      <c r="C107">
        <f t="shared" si="3"/>
        <v>1</v>
      </c>
      <c r="D107" t="s">
        <v>136</v>
      </c>
      <c r="E107" t="s">
        <v>235</v>
      </c>
      <c r="F107" t="s">
        <v>31</v>
      </c>
      <c r="G107" t="s">
        <v>20</v>
      </c>
      <c r="H107" t="s">
        <v>76</v>
      </c>
      <c r="I107" t="s">
        <v>22</v>
      </c>
      <c r="J107" t="s">
        <v>23</v>
      </c>
      <c r="K107">
        <v>8</v>
      </c>
      <c r="L107" s="4">
        <v>549.20000000000005</v>
      </c>
      <c r="M107">
        <v>-7.37</v>
      </c>
    </row>
    <row r="108" spans="1:13" x14ac:dyDescent="0.25">
      <c r="A108">
        <v>10107</v>
      </c>
      <c r="B108" t="str">
        <f t="shared" si="2"/>
        <v>Apr</v>
      </c>
      <c r="C108">
        <f t="shared" si="3"/>
        <v>4</v>
      </c>
      <c r="D108" t="s">
        <v>236</v>
      </c>
      <c r="E108" t="s">
        <v>237</v>
      </c>
      <c r="F108" t="s">
        <v>26</v>
      </c>
      <c r="G108" t="s">
        <v>46</v>
      </c>
      <c r="H108" t="s">
        <v>71</v>
      </c>
      <c r="I108" t="s">
        <v>16</v>
      </c>
      <c r="J108" t="s">
        <v>43</v>
      </c>
      <c r="K108">
        <v>2</v>
      </c>
      <c r="L108" s="4">
        <v>4166.1099999999997</v>
      </c>
      <c r="M108">
        <v>726.89</v>
      </c>
    </row>
    <row r="109" spans="1:13" x14ac:dyDescent="0.25">
      <c r="A109">
        <v>10108</v>
      </c>
      <c r="B109" t="str">
        <f t="shared" si="2"/>
        <v>Mar</v>
      </c>
      <c r="C109">
        <f t="shared" si="3"/>
        <v>3</v>
      </c>
      <c r="D109" t="s">
        <v>221</v>
      </c>
      <c r="E109" t="s">
        <v>238</v>
      </c>
      <c r="F109" t="s">
        <v>31</v>
      </c>
      <c r="G109" t="s">
        <v>14</v>
      </c>
      <c r="H109" t="s">
        <v>37</v>
      </c>
      <c r="I109" t="s">
        <v>22</v>
      </c>
      <c r="J109" t="s">
        <v>48</v>
      </c>
      <c r="K109">
        <v>5</v>
      </c>
      <c r="L109" s="4">
        <v>4012.72</v>
      </c>
      <c r="M109">
        <v>224.27</v>
      </c>
    </row>
    <row r="110" spans="1:13" x14ac:dyDescent="0.25">
      <c r="A110">
        <v>10109</v>
      </c>
      <c r="B110" t="str">
        <f t="shared" si="2"/>
        <v>Feb</v>
      </c>
      <c r="C110">
        <f t="shared" si="3"/>
        <v>2</v>
      </c>
      <c r="D110" t="s">
        <v>239</v>
      </c>
      <c r="E110" t="s">
        <v>240</v>
      </c>
      <c r="F110" t="s">
        <v>31</v>
      </c>
      <c r="G110" t="s">
        <v>46</v>
      </c>
      <c r="H110" t="s">
        <v>47</v>
      </c>
      <c r="I110" t="s">
        <v>22</v>
      </c>
      <c r="J110" t="s">
        <v>48</v>
      </c>
      <c r="K110">
        <v>5</v>
      </c>
      <c r="L110" s="4">
        <v>356.76</v>
      </c>
      <c r="M110">
        <v>31.38</v>
      </c>
    </row>
    <row r="111" spans="1:13" x14ac:dyDescent="0.25">
      <c r="A111">
        <v>10110</v>
      </c>
      <c r="B111" t="str">
        <f t="shared" si="2"/>
        <v>Jun</v>
      </c>
      <c r="C111">
        <f t="shared" si="3"/>
        <v>6</v>
      </c>
      <c r="D111" t="s">
        <v>216</v>
      </c>
      <c r="E111" t="s">
        <v>241</v>
      </c>
      <c r="F111" t="s">
        <v>13</v>
      </c>
      <c r="G111" t="s">
        <v>32</v>
      </c>
      <c r="H111" t="s">
        <v>33</v>
      </c>
      <c r="I111" t="s">
        <v>27</v>
      </c>
      <c r="J111" t="s">
        <v>104</v>
      </c>
      <c r="K111">
        <v>1</v>
      </c>
      <c r="L111" s="4">
        <v>3663.49</v>
      </c>
      <c r="M111">
        <v>949.58</v>
      </c>
    </row>
    <row r="112" spans="1:13" x14ac:dyDescent="0.25">
      <c r="A112">
        <v>10111</v>
      </c>
      <c r="B112" t="str">
        <f t="shared" si="2"/>
        <v>Feb</v>
      </c>
      <c r="C112">
        <f t="shared" si="3"/>
        <v>2</v>
      </c>
      <c r="D112" t="s">
        <v>90</v>
      </c>
      <c r="E112" t="s">
        <v>242</v>
      </c>
      <c r="F112" t="s">
        <v>31</v>
      </c>
      <c r="G112" t="s">
        <v>14</v>
      </c>
      <c r="H112" t="s">
        <v>15</v>
      </c>
      <c r="I112" t="s">
        <v>27</v>
      </c>
      <c r="J112" t="s">
        <v>77</v>
      </c>
      <c r="K112">
        <v>7</v>
      </c>
      <c r="L112" s="4">
        <v>3461.88</v>
      </c>
      <c r="M112">
        <v>506.44</v>
      </c>
    </row>
    <row r="113" spans="1:13" x14ac:dyDescent="0.25">
      <c r="A113">
        <v>10112</v>
      </c>
      <c r="B113" t="str">
        <f t="shared" si="2"/>
        <v>Sep</v>
      </c>
      <c r="C113">
        <f t="shared" si="3"/>
        <v>9</v>
      </c>
      <c r="D113" t="s">
        <v>243</v>
      </c>
      <c r="E113" t="s">
        <v>244</v>
      </c>
      <c r="F113" t="s">
        <v>31</v>
      </c>
      <c r="G113" t="s">
        <v>46</v>
      </c>
      <c r="H113" t="s">
        <v>71</v>
      </c>
      <c r="I113" t="s">
        <v>22</v>
      </c>
      <c r="J113" t="s">
        <v>38</v>
      </c>
      <c r="K113">
        <v>6</v>
      </c>
      <c r="L113" s="4">
        <v>1966.43</v>
      </c>
      <c r="M113">
        <v>362.51</v>
      </c>
    </row>
    <row r="114" spans="1:13" x14ac:dyDescent="0.25">
      <c r="A114">
        <v>10113</v>
      </c>
      <c r="B114" t="str">
        <f t="shared" si="2"/>
        <v>Aug</v>
      </c>
      <c r="C114">
        <f t="shared" si="3"/>
        <v>8</v>
      </c>
      <c r="D114" t="s">
        <v>245</v>
      </c>
      <c r="E114" t="s">
        <v>66</v>
      </c>
      <c r="F114" t="s">
        <v>31</v>
      </c>
      <c r="G114" t="s">
        <v>14</v>
      </c>
      <c r="H114" t="s">
        <v>15</v>
      </c>
      <c r="I114" t="s">
        <v>16</v>
      </c>
      <c r="J114" t="s">
        <v>43</v>
      </c>
      <c r="K114">
        <v>7</v>
      </c>
      <c r="L114" s="4">
        <v>2312.62</v>
      </c>
      <c r="M114">
        <v>213.84</v>
      </c>
    </row>
    <row r="115" spans="1:13" x14ac:dyDescent="0.25">
      <c r="A115">
        <v>10114</v>
      </c>
      <c r="B115" t="str">
        <f t="shared" si="2"/>
        <v>Feb</v>
      </c>
      <c r="C115">
        <f t="shared" si="3"/>
        <v>2</v>
      </c>
      <c r="D115" t="s">
        <v>246</v>
      </c>
      <c r="E115" t="s">
        <v>247</v>
      </c>
      <c r="F115" t="s">
        <v>26</v>
      </c>
      <c r="G115" t="s">
        <v>14</v>
      </c>
      <c r="H115" t="s">
        <v>37</v>
      </c>
      <c r="I115" t="s">
        <v>27</v>
      </c>
      <c r="J115" t="s">
        <v>28</v>
      </c>
      <c r="K115">
        <v>5</v>
      </c>
      <c r="L115" s="4">
        <v>1934.08</v>
      </c>
      <c r="M115">
        <v>78.209999999999994</v>
      </c>
    </row>
    <row r="116" spans="1:13" x14ac:dyDescent="0.25">
      <c r="A116">
        <v>10115</v>
      </c>
      <c r="B116" t="str">
        <f t="shared" si="2"/>
        <v>Jun</v>
      </c>
      <c r="C116">
        <f t="shared" si="3"/>
        <v>6</v>
      </c>
      <c r="D116" t="s">
        <v>248</v>
      </c>
      <c r="E116" t="s">
        <v>249</v>
      </c>
      <c r="F116" t="s">
        <v>26</v>
      </c>
      <c r="G116" t="s">
        <v>14</v>
      </c>
      <c r="H116" t="s">
        <v>37</v>
      </c>
      <c r="I116" t="s">
        <v>22</v>
      </c>
      <c r="J116" t="s">
        <v>38</v>
      </c>
      <c r="K116">
        <v>3</v>
      </c>
      <c r="L116" s="4">
        <v>2826.22</v>
      </c>
      <c r="M116">
        <v>499.52</v>
      </c>
    </row>
    <row r="117" spans="1:13" x14ac:dyDescent="0.25">
      <c r="A117">
        <v>10116</v>
      </c>
      <c r="B117" t="str">
        <f t="shared" si="2"/>
        <v>Oct</v>
      </c>
      <c r="C117">
        <f t="shared" si="3"/>
        <v>10</v>
      </c>
      <c r="D117" t="s">
        <v>250</v>
      </c>
      <c r="E117" t="s">
        <v>117</v>
      </c>
      <c r="F117" t="s">
        <v>26</v>
      </c>
      <c r="G117" t="s">
        <v>20</v>
      </c>
      <c r="H117" t="s">
        <v>76</v>
      </c>
      <c r="I117" t="s">
        <v>16</v>
      </c>
      <c r="J117" t="s">
        <v>51</v>
      </c>
      <c r="K117">
        <v>1</v>
      </c>
      <c r="L117" s="4">
        <v>4845.1499999999996</v>
      </c>
      <c r="M117">
        <v>934.36</v>
      </c>
    </row>
    <row r="118" spans="1:13" x14ac:dyDescent="0.25">
      <c r="A118">
        <v>10117</v>
      </c>
      <c r="B118" t="str">
        <f t="shared" si="2"/>
        <v>Oct</v>
      </c>
      <c r="C118">
        <f t="shared" si="3"/>
        <v>10</v>
      </c>
      <c r="D118" t="s">
        <v>251</v>
      </c>
      <c r="E118" t="s">
        <v>252</v>
      </c>
      <c r="F118" t="s">
        <v>31</v>
      </c>
      <c r="G118" t="s">
        <v>46</v>
      </c>
      <c r="H118" t="s">
        <v>47</v>
      </c>
      <c r="I118" t="s">
        <v>22</v>
      </c>
      <c r="J118" t="s">
        <v>23</v>
      </c>
      <c r="K118">
        <v>6</v>
      </c>
      <c r="L118" s="4">
        <v>4242.33</v>
      </c>
      <c r="M118">
        <v>525.67999999999995</v>
      </c>
    </row>
    <row r="119" spans="1:13" x14ac:dyDescent="0.25">
      <c r="A119">
        <v>10118</v>
      </c>
      <c r="B119" t="str">
        <f t="shared" si="2"/>
        <v>Jan</v>
      </c>
      <c r="C119">
        <f t="shared" si="3"/>
        <v>1</v>
      </c>
      <c r="D119" t="s">
        <v>253</v>
      </c>
      <c r="E119" t="s">
        <v>254</v>
      </c>
      <c r="F119" t="s">
        <v>26</v>
      </c>
      <c r="G119" t="s">
        <v>14</v>
      </c>
      <c r="H119" t="s">
        <v>37</v>
      </c>
      <c r="I119" t="s">
        <v>22</v>
      </c>
      <c r="J119" t="s">
        <v>48</v>
      </c>
      <c r="K119">
        <v>5</v>
      </c>
      <c r="L119" s="4">
        <v>3543.22</v>
      </c>
      <c r="M119">
        <v>416.88</v>
      </c>
    </row>
    <row r="120" spans="1:13" x14ac:dyDescent="0.25">
      <c r="A120">
        <v>10119</v>
      </c>
      <c r="B120" t="str">
        <f t="shared" si="2"/>
        <v>Jun</v>
      </c>
      <c r="C120">
        <f t="shared" si="3"/>
        <v>6</v>
      </c>
      <c r="D120" t="s">
        <v>157</v>
      </c>
      <c r="E120" t="s">
        <v>255</v>
      </c>
      <c r="F120" t="s">
        <v>31</v>
      </c>
      <c r="G120" t="s">
        <v>20</v>
      </c>
      <c r="H120" t="s">
        <v>21</v>
      </c>
      <c r="I120" t="s">
        <v>22</v>
      </c>
      <c r="J120" t="s">
        <v>23</v>
      </c>
      <c r="K120">
        <v>2</v>
      </c>
      <c r="L120" s="4">
        <v>3755.95</v>
      </c>
      <c r="M120">
        <v>347.82</v>
      </c>
    </row>
    <row r="121" spans="1:13" x14ac:dyDescent="0.25">
      <c r="A121">
        <v>10120</v>
      </c>
      <c r="B121" t="str">
        <f t="shared" si="2"/>
        <v>Feb</v>
      </c>
      <c r="C121">
        <f t="shared" si="3"/>
        <v>2</v>
      </c>
      <c r="D121" t="s">
        <v>256</v>
      </c>
      <c r="E121" t="s">
        <v>257</v>
      </c>
      <c r="F121" t="s">
        <v>31</v>
      </c>
      <c r="G121" t="s">
        <v>32</v>
      </c>
      <c r="H121" t="s">
        <v>54</v>
      </c>
      <c r="I121" t="s">
        <v>16</v>
      </c>
      <c r="J121" t="s">
        <v>81</v>
      </c>
      <c r="K121">
        <v>1</v>
      </c>
      <c r="L121" s="4">
        <v>862.34</v>
      </c>
      <c r="M121">
        <v>200.79</v>
      </c>
    </row>
    <row r="122" spans="1:13" x14ac:dyDescent="0.25">
      <c r="A122">
        <v>10121</v>
      </c>
      <c r="B122" t="str">
        <f t="shared" si="2"/>
        <v>Aug</v>
      </c>
      <c r="C122">
        <f t="shared" si="3"/>
        <v>8</v>
      </c>
      <c r="D122" t="s">
        <v>258</v>
      </c>
      <c r="E122" t="s">
        <v>259</v>
      </c>
      <c r="F122" t="s">
        <v>31</v>
      </c>
      <c r="G122" t="s">
        <v>20</v>
      </c>
      <c r="H122" t="s">
        <v>76</v>
      </c>
      <c r="I122" t="s">
        <v>16</v>
      </c>
      <c r="J122" t="s">
        <v>51</v>
      </c>
      <c r="K122">
        <v>7</v>
      </c>
      <c r="L122" s="4">
        <v>1438.52</v>
      </c>
      <c r="M122">
        <v>332.04</v>
      </c>
    </row>
    <row r="123" spans="1:13" x14ac:dyDescent="0.25">
      <c r="A123">
        <v>10122</v>
      </c>
      <c r="B123" t="str">
        <f t="shared" si="2"/>
        <v>Apr</v>
      </c>
      <c r="C123">
        <f t="shared" si="3"/>
        <v>4</v>
      </c>
      <c r="D123" t="s">
        <v>260</v>
      </c>
      <c r="E123" t="s">
        <v>261</v>
      </c>
      <c r="F123" t="s">
        <v>26</v>
      </c>
      <c r="G123" t="s">
        <v>20</v>
      </c>
      <c r="H123" t="s">
        <v>76</v>
      </c>
      <c r="I123" t="s">
        <v>22</v>
      </c>
      <c r="J123" t="s">
        <v>48</v>
      </c>
      <c r="K123">
        <v>7</v>
      </c>
      <c r="L123" s="4">
        <v>4923.78</v>
      </c>
      <c r="M123">
        <v>293.18</v>
      </c>
    </row>
    <row r="124" spans="1:13" x14ac:dyDescent="0.25">
      <c r="A124">
        <v>10123</v>
      </c>
      <c r="B124" t="str">
        <f t="shared" si="2"/>
        <v>Sep</v>
      </c>
      <c r="C124">
        <f t="shared" si="3"/>
        <v>9</v>
      </c>
      <c r="D124" t="s">
        <v>262</v>
      </c>
      <c r="E124" t="s">
        <v>210</v>
      </c>
      <c r="F124" t="s">
        <v>26</v>
      </c>
      <c r="G124" t="s">
        <v>32</v>
      </c>
      <c r="H124" t="s">
        <v>54</v>
      </c>
      <c r="I124" t="s">
        <v>27</v>
      </c>
      <c r="J124" t="s">
        <v>118</v>
      </c>
      <c r="K124">
        <v>1</v>
      </c>
      <c r="L124" s="4">
        <v>2537.19</v>
      </c>
      <c r="M124">
        <v>387.1</v>
      </c>
    </row>
    <row r="125" spans="1:13" x14ac:dyDescent="0.25">
      <c r="A125">
        <v>10124</v>
      </c>
      <c r="B125" t="str">
        <f t="shared" si="2"/>
        <v>Oct</v>
      </c>
      <c r="C125">
        <f t="shared" si="3"/>
        <v>10</v>
      </c>
      <c r="D125" t="s">
        <v>183</v>
      </c>
      <c r="E125" t="s">
        <v>263</v>
      </c>
      <c r="F125" t="s">
        <v>13</v>
      </c>
      <c r="G125" t="s">
        <v>32</v>
      </c>
      <c r="H125" t="s">
        <v>33</v>
      </c>
      <c r="I125" t="s">
        <v>27</v>
      </c>
      <c r="J125" t="s">
        <v>118</v>
      </c>
      <c r="K125">
        <v>7</v>
      </c>
      <c r="L125" s="4">
        <v>191.83</v>
      </c>
      <c r="M125">
        <v>-32.44</v>
      </c>
    </row>
    <row r="126" spans="1:13" x14ac:dyDescent="0.25">
      <c r="A126">
        <v>10125</v>
      </c>
      <c r="B126" t="str">
        <f t="shared" si="2"/>
        <v>Nov</v>
      </c>
      <c r="C126">
        <f t="shared" si="3"/>
        <v>11</v>
      </c>
      <c r="D126" t="s">
        <v>264</v>
      </c>
      <c r="E126" t="s">
        <v>265</v>
      </c>
      <c r="F126" t="s">
        <v>13</v>
      </c>
      <c r="G126" t="s">
        <v>20</v>
      </c>
      <c r="H126" t="s">
        <v>76</v>
      </c>
      <c r="I126" t="s">
        <v>27</v>
      </c>
      <c r="J126" t="s">
        <v>118</v>
      </c>
      <c r="K126">
        <v>7</v>
      </c>
      <c r="L126" s="4">
        <v>202.2</v>
      </c>
      <c r="M126">
        <v>-53.61</v>
      </c>
    </row>
    <row r="127" spans="1:13" x14ac:dyDescent="0.25">
      <c r="A127">
        <v>10126</v>
      </c>
      <c r="B127" t="str">
        <f t="shared" si="2"/>
        <v>Jun</v>
      </c>
      <c r="C127">
        <f t="shared" si="3"/>
        <v>6</v>
      </c>
      <c r="D127" t="s">
        <v>266</v>
      </c>
      <c r="E127" t="s">
        <v>267</v>
      </c>
      <c r="F127" t="s">
        <v>31</v>
      </c>
      <c r="G127" t="s">
        <v>32</v>
      </c>
      <c r="H127" t="s">
        <v>33</v>
      </c>
      <c r="I127" t="s">
        <v>27</v>
      </c>
      <c r="J127" t="s">
        <v>118</v>
      </c>
      <c r="K127">
        <v>4</v>
      </c>
      <c r="L127" s="4">
        <v>2234.81</v>
      </c>
      <c r="M127">
        <v>327.61</v>
      </c>
    </row>
    <row r="128" spans="1:13" x14ac:dyDescent="0.25">
      <c r="A128">
        <v>10127</v>
      </c>
      <c r="B128" t="str">
        <f t="shared" si="2"/>
        <v>Jun</v>
      </c>
      <c r="C128">
        <f t="shared" si="3"/>
        <v>6</v>
      </c>
      <c r="D128" t="s">
        <v>268</v>
      </c>
      <c r="E128" t="s">
        <v>269</v>
      </c>
      <c r="F128" t="s">
        <v>13</v>
      </c>
      <c r="G128" t="s">
        <v>46</v>
      </c>
      <c r="H128" t="s">
        <v>47</v>
      </c>
      <c r="I128" t="s">
        <v>22</v>
      </c>
      <c r="J128" t="s">
        <v>23</v>
      </c>
      <c r="K128">
        <v>2</v>
      </c>
      <c r="L128" s="4">
        <v>2699.96</v>
      </c>
      <c r="M128">
        <v>188.26</v>
      </c>
    </row>
    <row r="129" spans="1:13" x14ac:dyDescent="0.25">
      <c r="A129">
        <v>10128</v>
      </c>
      <c r="B129" t="str">
        <f t="shared" si="2"/>
        <v>Dec</v>
      </c>
      <c r="C129">
        <f t="shared" si="3"/>
        <v>12</v>
      </c>
      <c r="D129" t="s">
        <v>121</v>
      </c>
      <c r="E129" t="s">
        <v>270</v>
      </c>
      <c r="F129" t="s">
        <v>26</v>
      </c>
      <c r="G129" t="s">
        <v>46</v>
      </c>
      <c r="H129" t="s">
        <v>71</v>
      </c>
      <c r="I129" t="s">
        <v>22</v>
      </c>
      <c r="J129" t="s">
        <v>48</v>
      </c>
      <c r="K129">
        <v>5</v>
      </c>
      <c r="L129" s="4">
        <v>1066.6300000000001</v>
      </c>
      <c r="M129">
        <v>137.94</v>
      </c>
    </row>
    <row r="130" spans="1:13" x14ac:dyDescent="0.25">
      <c r="A130">
        <v>10129</v>
      </c>
      <c r="B130" t="str">
        <f t="shared" ref="B130:B193" si="4">TEXT(D130,"mmm")</f>
        <v>Feb</v>
      </c>
      <c r="C130">
        <f t="shared" ref="C130:C193" si="5">MONTH(D130)</f>
        <v>2</v>
      </c>
      <c r="D130" t="s">
        <v>246</v>
      </c>
      <c r="E130" t="s">
        <v>271</v>
      </c>
      <c r="F130" t="s">
        <v>31</v>
      </c>
      <c r="G130" t="s">
        <v>20</v>
      </c>
      <c r="H130" t="s">
        <v>76</v>
      </c>
      <c r="I130" t="s">
        <v>16</v>
      </c>
      <c r="J130" t="s">
        <v>51</v>
      </c>
      <c r="K130">
        <v>6</v>
      </c>
      <c r="L130" s="4">
        <v>4334.8100000000004</v>
      </c>
      <c r="M130">
        <v>881.36</v>
      </c>
    </row>
    <row r="131" spans="1:13" x14ac:dyDescent="0.25">
      <c r="A131">
        <v>10130</v>
      </c>
      <c r="B131" t="str">
        <f t="shared" si="4"/>
        <v>Jan</v>
      </c>
      <c r="C131">
        <f t="shared" si="5"/>
        <v>1</v>
      </c>
      <c r="D131" t="s">
        <v>61</v>
      </c>
      <c r="E131" t="s">
        <v>162</v>
      </c>
      <c r="F131" t="s">
        <v>31</v>
      </c>
      <c r="G131" t="s">
        <v>32</v>
      </c>
      <c r="H131" t="s">
        <v>54</v>
      </c>
      <c r="I131" t="s">
        <v>16</v>
      </c>
      <c r="J131" t="s">
        <v>81</v>
      </c>
      <c r="K131">
        <v>6</v>
      </c>
      <c r="L131" s="4">
        <v>2585.9499999999998</v>
      </c>
      <c r="M131">
        <v>284.77999999999997</v>
      </c>
    </row>
    <row r="132" spans="1:13" x14ac:dyDescent="0.25">
      <c r="A132">
        <v>10131</v>
      </c>
      <c r="B132" t="str">
        <f t="shared" si="4"/>
        <v>Jan</v>
      </c>
      <c r="C132">
        <f t="shared" si="5"/>
        <v>1</v>
      </c>
      <c r="D132" t="s">
        <v>272</v>
      </c>
      <c r="E132" t="s">
        <v>273</v>
      </c>
      <c r="F132" t="s">
        <v>13</v>
      </c>
      <c r="G132" t="s">
        <v>14</v>
      </c>
      <c r="H132" t="s">
        <v>15</v>
      </c>
      <c r="I132" t="s">
        <v>16</v>
      </c>
      <c r="J132" t="s">
        <v>51</v>
      </c>
      <c r="K132">
        <v>8</v>
      </c>
      <c r="L132" s="4">
        <v>2943.61</v>
      </c>
      <c r="M132">
        <v>775.51</v>
      </c>
    </row>
    <row r="133" spans="1:13" x14ac:dyDescent="0.25">
      <c r="A133">
        <v>10132</v>
      </c>
      <c r="B133" t="str">
        <f t="shared" si="4"/>
        <v>Jun</v>
      </c>
      <c r="C133">
        <f t="shared" si="5"/>
        <v>6</v>
      </c>
      <c r="D133" t="s">
        <v>274</v>
      </c>
      <c r="E133" t="s">
        <v>275</v>
      </c>
      <c r="F133" t="s">
        <v>26</v>
      </c>
      <c r="G133" t="s">
        <v>46</v>
      </c>
      <c r="H133" t="s">
        <v>47</v>
      </c>
      <c r="I133" t="s">
        <v>16</v>
      </c>
      <c r="J133" t="s">
        <v>51</v>
      </c>
      <c r="K133">
        <v>3</v>
      </c>
      <c r="L133" s="4">
        <v>4792.84</v>
      </c>
      <c r="M133">
        <v>698.37</v>
      </c>
    </row>
    <row r="134" spans="1:13" x14ac:dyDescent="0.25">
      <c r="A134">
        <v>10133</v>
      </c>
      <c r="B134" t="str">
        <f t="shared" si="4"/>
        <v>May</v>
      </c>
      <c r="C134">
        <f t="shared" si="5"/>
        <v>5</v>
      </c>
      <c r="D134" t="s">
        <v>276</v>
      </c>
      <c r="E134" t="s">
        <v>277</v>
      </c>
      <c r="F134" t="s">
        <v>31</v>
      </c>
      <c r="G134" t="s">
        <v>46</v>
      </c>
      <c r="H134" t="s">
        <v>71</v>
      </c>
      <c r="I134" t="s">
        <v>22</v>
      </c>
      <c r="J134" t="s">
        <v>34</v>
      </c>
      <c r="K134">
        <v>8</v>
      </c>
      <c r="L134" s="4">
        <v>2667.94</v>
      </c>
      <c r="M134">
        <v>503.74</v>
      </c>
    </row>
    <row r="135" spans="1:13" x14ac:dyDescent="0.25">
      <c r="A135">
        <v>10134</v>
      </c>
      <c r="B135" t="str">
        <f t="shared" si="4"/>
        <v>May</v>
      </c>
      <c r="C135">
        <f t="shared" si="5"/>
        <v>5</v>
      </c>
      <c r="D135" t="s">
        <v>278</v>
      </c>
      <c r="E135" t="s">
        <v>141</v>
      </c>
      <c r="F135" t="s">
        <v>13</v>
      </c>
      <c r="G135" t="s">
        <v>32</v>
      </c>
      <c r="H135" t="s">
        <v>33</v>
      </c>
      <c r="I135" t="s">
        <v>16</v>
      </c>
      <c r="J135" t="s">
        <v>17</v>
      </c>
      <c r="K135">
        <v>2</v>
      </c>
      <c r="L135" s="4">
        <v>1715.48</v>
      </c>
      <c r="M135">
        <v>286.41000000000003</v>
      </c>
    </row>
    <row r="136" spans="1:13" x14ac:dyDescent="0.25">
      <c r="A136">
        <v>10135</v>
      </c>
      <c r="B136" t="str">
        <f t="shared" si="4"/>
        <v>Mar</v>
      </c>
      <c r="C136">
        <f t="shared" si="5"/>
        <v>3</v>
      </c>
      <c r="D136" t="s">
        <v>98</v>
      </c>
      <c r="E136" t="s">
        <v>87</v>
      </c>
      <c r="F136" t="s">
        <v>13</v>
      </c>
      <c r="G136" t="s">
        <v>46</v>
      </c>
      <c r="H136" t="s">
        <v>47</v>
      </c>
      <c r="I136" t="s">
        <v>22</v>
      </c>
      <c r="J136" t="s">
        <v>48</v>
      </c>
      <c r="K136">
        <v>6</v>
      </c>
      <c r="L136" s="4">
        <v>1620.14</v>
      </c>
      <c r="M136">
        <v>280.52</v>
      </c>
    </row>
    <row r="137" spans="1:13" x14ac:dyDescent="0.25">
      <c r="A137">
        <v>10136</v>
      </c>
      <c r="B137" t="str">
        <f t="shared" si="4"/>
        <v>Dec</v>
      </c>
      <c r="C137">
        <f t="shared" si="5"/>
        <v>12</v>
      </c>
      <c r="D137" t="s">
        <v>279</v>
      </c>
      <c r="E137" t="s">
        <v>280</v>
      </c>
      <c r="F137" t="s">
        <v>26</v>
      </c>
      <c r="G137" t="s">
        <v>14</v>
      </c>
      <c r="H137" t="s">
        <v>37</v>
      </c>
      <c r="I137" t="s">
        <v>16</v>
      </c>
      <c r="J137" t="s">
        <v>51</v>
      </c>
      <c r="K137">
        <v>6</v>
      </c>
      <c r="L137" s="4">
        <v>4084.61</v>
      </c>
      <c r="M137">
        <v>805.63</v>
      </c>
    </row>
    <row r="138" spans="1:13" x14ac:dyDescent="0.25">
      <c r="A138">
        <v>10137</v>
      </c>
      <c r="B138" t="str">
        <f t="shared" si="4"/>
        <v>Sep</v>
      </c>
      <c r="C138">
        <f t="shared" si="5"/>
        <v>9</v>
      </c>
      <c r="D138" t="s">
        <v>281</v>
      </c>
      <c r="E138" t="s">
        <v>282</v>
      </c>
      <c r="F138" t="s">
        <v>26</v>
      </c>
      <c r="G138" t="s">
        <v>20</v>
      </c>
      <c r="H138" t="s">
        <v>76</v>
      </c>
      <c r="I138" t="s">
        <v>22</v>
      </c>
      <c r="J138" t="s">
        <v>38</v>
      </c>
      <c r="K138">
        <v>5</v>
      </c>
      <c r="L138" s="4">
        <v>983.29</v>
      </c>
      <c r="M138">
        <v>7.05</v>
      </c>
    </row>
    <row r="139" spans="1:13" x14ac:dyDescent="0.25">
      <c r="A139">
        <v>10138</v>
      </c>
      <c r="B139" t="str">
        <f t="shared" si="4"/>
        <v>Sep</v>
      </c>
      <c r="C139">
        <f t="shared" si="5"/>
        <v>9</v>
      </c>
      <c r="D139" t="s">
        <v>283</v>
      </c>
      <c r="E139" t="s">
        <v>284</v>
      </c>
      <c r="F139" t="s">
        <v>13</v>
      </c>
      <c r="G139" t="s">
        <v>46</v>
      </c>
      <c r="H139" t="s">
        <v>71</v>
      </c>
      <c r="I139" t="s">
        <v>22</v>
      </c>
      <c r="J139" t="s">
        <v>38</v>
      </c>
      <c r="K139">
        <v>2</v>
      </c>
      <c r="L139" s="4">
        <v>2587.6799999999998</v>
      </c>
      <c r="M139">
        <v>404.71</v>
      </c>
    </row>
    <row r="140" spans="1:13" x14ac:dyDescent="0.25">
      <c r="A140">
        <v>10139</v>
      </c>
      <c r="B140" t="str">
        <f t="shared" si="4"/>
        <v>Mar</v>
      </c>
      <c r="C140">
        <f t="shared" si="5"/>
        <v>3</v>
      </c>
      <c r="D140" t="s">
        <v>179</v>
      </c>
      <c r="E140" t="s">
        <v>164</v>
      </c>
      <c r="F140" t="s">
        <v>31</v>
      </c>
      <c r="G140" t="s">
        <v>32</v>
      </c>
      <c r="H140" t="s">
        <v>33</v>
      </c>
      <c r="I140" t="s">
        <v>16</v>
      </c>
      <c r="J140" t="s">
        <v>51</v>
      </c>
      <c r="K140">
        <v>3</v>
      </c>
      <c r="L140" s="4">
        <v>895.01</v>
      </c>
      <c r="M140">
        <v>153.66</v>
      </c>
    </row>
    <row r="141" spans="1:13" x14ac:dyDescent="0.25">
      <c r="A141">
        <v>10140</v>
      </c>
      <c r="B141" t="str">
        <f t="shared" si="4"/>
        <v>Apr</v>
      </c>
      <c r="C141">
        <f t="shared" si="5"/>
        <v>4</v>
      </c>
      <c r="D141" t="s">
        <v>236</v>
      </c>
      <c r="E141" t="s">
        <v>285</v>
      </c>
      <c r="F141" t="s">
        <v>26</v>
      </c>
      <c r="G141" t="s">
        <v>14</v>
      </c>
      <c r="H141" t="s">
        <v>37</v>
      </c>
      <c r="I141" t="s">
        <v>27</v>
      </c>
      <c r="J141" t="s">
        <v>104</v>
      </c>
      <c r="K141">
        <v>8</v>
      </c>
      <c r="L141" s="4">
        <v>3091.92</v>
      </c>
      <c r="M141">
        <v>657.8</v>
      </c>
    </row>
    <row r="142" spans="1:13" x14ac:dyDescent="0.25">
      <c r="A142">
        <v>10141</v>
      </c>
      <c r="B142" t="str">
        <f t="shared" si="4"/>
        <v>Sep</v>
      </c>
      <c r="C142">
        <f t="shared" si="5"/>
        <v>9</v>
      </c>
      <c r="D142" t="s">
        <v>286</v>
      </c>
      <c r="E142" t="s">
        <v>287</v>
      </c>
      <c r="F142" t="s">
        <v>26</v>
      </c>
      <c r="G142" t="s">
        <v>32</v>
      </c>
      <c r="H142" t="s">
        <v>54</v>
      </c>
      <c r="I142" t="s">
        <v>22</v>
      </c>
      <c r="J142" t="s">
        <v>38</v>
      </c>
      <c r="K142">
        <v>8</v>
      </c>
      <c r="L142" s="4">
        <v>2362.23</v>
      </c>
      <c r="M142">
        <v>246.33</v>
      </c>
    </row>
    <row r="143" spans="1:13" x14ac:dyDescent="0.25">
      <c r="A143">
        <v>10142</v>
      </c>
      <c r="B143" t="str">
        <f t="shared" si="4"/>
        <v>Sep</v>
      </c>
      <c r="C143">
        <f t="shared" si="5"/>
        <v>9</v>
      </c>
      <c r="D143" t="s">
        <v>288</v>
      </c>
      <c r="E143" t="s">
        <v>289</v>
      </c>
      <c r="F143" t="s">
        <v>26</v>
      </c>
      <c r="G143" t="s">
        <v>46</v>
      </c>
      <c r="H143" t="s">
        <v>71</v>
      </c>
      <c r="I143" t="s">
        <v>27</v>
      </c>
      <c r="J143" t="s">
        <v>118</v>
      </c>
      <c r="K143">
        <v>8</v>
      </c>
      <c r="L143" s="4">
        <v>4383.17</v>
      </c>
      <c r="M143">
        <v>816.56</v>
      </c>
    </row>
    <row r="144" spans="1:13" x14ac:dyDescent="0.25">
      <c r="A144">
        <v>10143</v>
      </c>
      <c r="B144" t="str">
        <f t="shared" si="4"/>
        <v>Apr</v>
      </c>
      <c r="C144">
        <f t="shared" si="5"/>
        <v>4</v>
      </c>
      <c r="D144" t="s">
        <v>290</v>
      </c>
      <c r="E144" t="s">
        <v>291</v>
      </c>
      <c r="F144" t="s">
        <v>31</v>
      </c>
      <c r="G144" t="s">
        <v>32</v>
      </c>
      <c r="H144" t="s">
        <v>33</v>
      </c>
      <c r="I144" t="s">
        <v>22</v>
      </c>
      <c r="J144" t="s">
        <v>38</v>
      </c>
      <c r="K144">
        <v>8</v>
      </c>
      <c r="L144" s="4">
        <v>4536</v>
      </c>
      <c r="M144">
        <v>350.15</v>
      </c>
    </row>
    <row r="145" spans="1:13" x14ac:dyDescent="0.25">
      <c r="A145">
        <v>10144</v>
      </c>
      <c r="B145" t="str">
        <f t="shared" si="4"/>
        <v>Jul</v>
      </c>
      <c r="C145">
        <f t="shared" si="5"/>
        <v>7</v>
      </c>
      <c r="D145" t="s">
        <v>211</v>
      </c>
      <c r="E145" t="s">
        <v>292</v>
      </c>
      <c r="F145" t="s">
        <v>26</v>
      </c>
      <c r="G145" t="s">
        <v>32</v>
      </c>
      <c r="H145" t="s">
        <v>33</v>
      </c>
      <c r="I145" t="s">
        <v>27</v>
      </c>
      <c r="J145" t="s">
        <v>118</v>
      </c>
      <c r="K145">
        <v>7</v>
      </c>
      <c r="L145" s="4">
        <v>2559.83</v>
      </c>
      <c r="M145">
        <v>179.43</v>
      </c>
    </row>
    <row r="146" spans="1:13" x14ac:dyDescent="0.25">
      <c r="A146">
        <v>10145</v>
      </c>
      <c r="B146" t="str">
        <f t="shared" si="4"/>
        <v>Dec</v>
      </c>
      <c r="C146">
        <f t="shared" si="5"/>
        <v>12</v>
      </c>
      <c r="D146" t="s">
        <v>151</v>
      </c>
      <c r="E146" t="s">
        <v>293</v>
      </c>
      <c r="F146" t="s">
        <v>26</v>
      </c>
      <c r="G146" t="s">
        <v>32</v>
      </c>
      <c r="H146" t="s">
        <v>33</v>
      </c>
      <c r="I146" t="s">
        <v>16</v>
      </c>
      <c r="J146" t="s">
        <v>17</v>
      </c>
      <c r="K146">
        <v>3</v>
      </c>
      <c r="L146" s="4">
        <v>774.24</v>
      </c>
      <c r="M146">
        <v>11.26</v>
      </c>
    </row>
    <row r="147" spans="1:13" x14ac:dyDescent="0.25">
      <c r="A147">
        <v>10146</v>
      </c>
      <c r="B147" t="str">
        <f t="shared" si="4"/>
        <v>Nov</v>
      </c>
      <c r="C147">
        <f t="shared" si="5"/>
        <v>11</v>
      </c>
      <c r="D147" t="s">
        <v>294</v>
      </c>
      <c r="E147" t="s">
        <v>295</v>
      </c>
      <c r="F147" t="s">
        <v>31</v>
      </c>
      <c r="G147" t="s">
        <v>20</v>
      </c>
      <c r="H147" t="s">
        <v>76</v>
      </c>
      <c r="I147" t="s">
        <v>16</v>
      </c>
      <c r="J147" t="s">
        <v>81</v>
      </c>
      <c r="K147">
        <v>2</v>
      </c>
      <c r="L147" s="4">
        <v>193.12</v>
      </c>
      <c r="M147">
        <v>5.12</v>
      </c>
    </row>
    <row r="148" spans="1:13" x14ac:dyDescent="0.25">
      <c r="A148">
        <v>10147</v>
      </c>
      <c r="B148" t="str">
        <f t="shared" si="4"/>
        <v>Aug</v>
      </c>
      <c r="C148">
        <f t="shared" si="5"/>
        <v>8</v>
      </c>
      <c r="D148" t="s">
        <v>296</v>
      </c>
      <c r="E148" t="s">
        <v>297</v>
      </c>
      <c r="F148" t="s">
        <v>26</v>
      </c>
      <c r="G148" t="s">
        <v>14</v>
      </c>
      <c r="H148" t="s">
        <v>37</v>
      </c>
      <c r="I148" t="s">
        <v>22</v>
      </c>
      <c r="J148" t="s">
        <v>38</v>
      </c>
      <c r="K148">
        <v>2</v>
      </c>
      <c r="L148" s="4">
        <v>333.97</v>
      </c>
      <c r="M148">
        <v>-27.64</v>
      </c>
    </row>
    <row r="149" spans="1:13" x14ac:dyDescent="0.25">
      <c r="A149">
        <v>10148</v>
      </c>
      <c r="B149" t="str">
        <f t="shared" si="4"/>
        <v>Oct</v>
      </c>
      <c r="C149">
        <f t="shared" si="5"/>
        <v>10</v>
      </c>
      <c r="D149" t="s">
        <v>298</v>
      </c>
      <c r="E149" t="s">
        <v>299</v>
      </c>
      <c r="F149" t="s">
        <v>26</v>
      </c>
      <c r="G149" t="s">
        <v>20</v>
      </c>
      <c r="H149" t="s">
        <v>21</v>
      </c>
      <c r="I149" t="s">
        <v>16</v>
      </c>
      <c r="J149" t="s">
        <v>43</v>
      </c>
      <c r="K149">
        <v>3</v>
      </c>
      <c r="L149" s="4">
        <v>1527.23</v>
      </c>
      <c r="M149">
        <v>41.68</v>
      </c>
    </row>
    <row r="150" spans="1:13" x14ac:dyDescent="0.25">
      <c r="A150">
        <v>10149</v>
      </c>
      <c r="B150" t="str">
        <f t="shared" si="4"/>
        <v>Jul</v>
      </c>
      <c r="C150">
        <f t="shared" si="5"/>
        <v>7</v>
      </c>
      <c r="D150" t="s">
        <v>211</v>
      </c>
      <c r="E150" t="s">
        <v>300</v>
      </c>
      <c r="F150" t="s">
        <v>13</v>
      </c>
      <c r="G150" t="s">
        <v>14</v>
      </c>
      <c r="H150" t="s">
        <v>37</v>
      </c>
      <c r="I150" t="s">
        <v>22</v>
      </c>
      <c r="J150" t="s">
        <v>23</v>
      </c>
      <c r="K150">
        <v>7</v>
      </c>
      <c r="L150" s="4">
        <v>4379.32</v>
      </c>
      <c r="M150">
        <v>227.94</v>
      </c>
    </row>
    <row r="151" spans="1:13" x14ac:dyDescent="0.25">
      <c r="A151">
        <v>10150</v>
      </c>
      <c r="B151" t="str">
        <f t="shared" si="4"/>
        <v>Jun</v>
      </c>
      <c r="C151">
        <f t="shared" si="5"/>
        <v>6</v>
      </c>
      <c r="D151" t="s">
        <v>301</v>
      </c>
      <c r="E151" t="s">
        <v>302</v>
      </c>
      <c r="F151" t="s">
        <v>26</v>
      </c>
      <c r="G151" t="s">
        <v>14</v>
      </c>
      <c r="H151" t="s">
        <v>37</v>
      </c>
      <c r="I151" t="s">
        <v>22</v>
      </c>
      <c r="J151" t="s">
        <v>38</v>
      </c>
      <c r="K151">
        <v>4</v>
      </c>
      <c r="L151" s="4">
        <v>3691.41</v>
      </c>
      <c r="M151">
        <v>687.21</v>
      </c>
    </row>
    <row r="152" spans="1:13" x14ac:dyDescent="0.25">
      <c r="A152">
        <v>10151</v>
      </c>
      <c r="B152" t="str">
        <f t="shared" si="4"/>
        <v>Mar</v>
      </c>
      <c r="C152">
        <f t="shared" si="5"/>
        <v>3</v>
      </c>
      <c r="D152" t="s">
        <v>303</v>
      </c>
      <c r="E152" t="s">
        <v>297</v>
      </c>
      <c r="F152" t="s">
        <v>13</v>
      </c>
      <c r="G152" t="s">
        <v>32</v>
      </c>
      <c r="H152" t="s">
        <v>54</v>
      </c>
      <c r="I152" t="s">
        <v>16</v>
      </c>
      <c r="J152" t="s">
        <v>43</v>
      </c>
      <c r="K152">
        <v>8</v>
      </c>
      <c r="L152" s="4">
        <v>4906.01</v>
      </c>
      <c r="M152">
        <v>813.99</v>
      </c>
    </row>
    <row r="153" spans="1:13" x14ac:dyDescent="0.25">
      <c r="A153">
        <v>10152</v>
      </c>
      <c r="B153" t="str">
        <f t="shared" si="4"/>
        <v>Jun</v>
      </c>
      <c r="C153">
        <f t="shared" si="5"/>
        <v>6</v>
      </c>
      <c r="D153" t="s">
        <v>266</v>
      </c>
      <c r="E153" t="s">
        <v>304</v>
      </c>
      <c r="F153" t="s">
        <v>31</v>
      </c>
      <c r="G153" t="s">
        <v>20</v>
      </c>
      <c r="H153" t="s">
        <v>21</v>
      </c>
      <c r="I153" t="s">
        <v>27</v>
      </c>
      <c r="J153" t="s">
        <v>104</v>
      </c>
      <c r="K153">
        <v>1</v>
      </c>
      <c r="L153" s="4">
        <v>3976.44</v>
      </c>
      <c r="M153">
        <v>1047.8399999999999</v>
      </c>
    </row>
    <row r="154" spans="1:13" x14ac:dyDescent="0.25">
      <c r="A154">
        <v>10153</v>
      </c>
      <c r="B154" t="str">
        <f t="shared" si="4"/>
        <v>Jun</v>
      </c>
      <c r="C154">
        <f t="shared" si="5"/>
        <v>6</v>
      </c>
      <c r="D154" t="s">
        <v>305</v>
      </c>
      <c r="E154" t="s">
        <v>224</v>
      </c>
      <c r="F154" t="s">
        <v>26</v>
      </c>
      <c r="G154" t="s">
        <v>20</v>
      </c>
      <c r="H154" t="s">
        <v>76</v>
      </c>
      <c r="I154" t="s">
        <v>22</v>
      </c>
      <c r="J154" t="s">
        <v>48</v>
      </c>
      <c r="K154">
        <v>5</v>
      </c>
      <c r="L154" s="4">
        <v>1849.17</v>
      </c>
      <c r="M154">
        <v>366.86</v>
      </c>
    </row>
    <row r="155" spans="1:13" x14ac:dyDescent="0.25">
      <c r="A155">
        <v>10154</v>
      </c>
      <c r="B155" t="str">
        <f t="shared" si="4"/>
        <v>Jul</v>
      </c>
      <c r="C155">
        <f t="shared" si="5"/>
        <v>7</v>
      </c>
      <c r="D155" t="s">
        <v>306</v>
      </c>
      <c r="E155" t="s">
        <v>307</v>
      </c>
      <c r="F155" t="s">
        <v>13</v>
      </c>
      <c r="G155" t="s">
        <v>32</v>
      </c>
      <c r="H155" t="s">
        <v>54</v>
      </c>
      <c r="I155" t="s">
        <v>27</v>
      </c>
      <c r="J155" t="s">
        <v>77</v>
      </c>
      <c r="K155">
        <v>7</v>
      </c>
      <c r="L155" s="4">
        <v>1761.28</v>
      </c>
      <c r="M155">
        <v>101.12</v>
      </c>
    </row>
    <row r="156" spans="1:13" x14ac:dyDescent="0.25">
      <c r="A156">
        <v>10155</v>
      </c>
      <c r="B156" t="str">
        <f t="shared" si="4"/>
        <v>May</v>
      </c>
      <c r="C156">
        <f t="shared" si="5"/>
        <v>5</v>
      </c>
      <c r="D156" t="s">
        <v>308</v>
      </c>
      <c r="E156" t="s">
        <v>309</v>
      </c>
      <c r="F156" t="s">
        <v>26</v>
      </c>
      <c r="G156" t="s">
        <v>32</v>
      </c>
      <c r="H156" t="s">
        <v>33</v>
      </c>
      <c r="I156" t="s">
        <v>16</v>
      </c>
      <c r="J156" t="s">
        <v>51</v>
      </c>
      <c r="K156">
        <v>2</v>
      </c>
      <c r="L156" s="4">
        <v>2209.98</v>
      </c>
      <c r="M156">
        <v>642.24</v>
      </c>
    </row>
    <row r="157" spans="1:13" x14ac:dyDescent="0.25">
      <c r="A157">
        <v>10156</v>
      </c>
      <c r="B157" t="str">
        <f t="shared" si="4"/>
        <v>Aug</v>
      </c>
      <c r="C157">
        <f t="shared" si="5"/>
        <v>8</v>
      </c>
      <c r="D157" t="s">
        <v>310</v>
      </c>
      <c r="E157" t="s">
        <v>311</v>
      </c>
      <c r="F157" t="s">
        <v>31</v>
      </c>
      <c r="G157" t="s">
        <v>14</v>
      </c>
      <c r="H157" t="s">
        <v>37</v>
      </c>
      <c r="I157" t="s">
        <v>16</v>
      </c>
      <c r="J157" t="s">
        <v>17</v>
      </c>
      <c r="K157">
        <v>5</v>
      </c>
      <c r="L157" s="4">
        <v>2284.9899999999998</v>
      </c>
      <c r="M157">
        <v>507.55</v>
      </c>
    </row>
    <row r="158" spans="1:13" x14ac:dyDescent="0.25">
      <c r="A158">
        <v>10157</v>
      </c>
      <c r="B158" t="str">
        <f t="shared" si="4"/>
        <v>Dec</v>
      </c>
      <c r="C158">
        <f t="shared" si="5"/>
        <v>12</v>
      </c>
      <c r="D158" t="s">
        <v>312</v>
      </c>
      <c r="E158" t="s">
        <v>99</v>
      </c>
      <c r="F158" t="s">
        <v>31</v>
      </c>
      <c r="G158" t="s">
        <v>14</v>
      </c>
      <c r="H158" t="s">
        <v>37</v>
      </c>
      <c r="I158" t="s">
        <v>16</v>
      </c>
      <c r="J158" t="s">
        <v>51</v>
      </c>
      <c r="K158">
        <v>5</v>
      </c>
      <c r="L158" s="4">
        <v>3233.4</v>
      </c>
      <c r="M158">
        <v>795.73</v>
      </c>
    </row>
    <row r="159" spans="1:13" x14ac:dyDescent="0.25">
      <c r="A159">
        <v>10158</v>
      </c>
      <c r="B159" t="str">
        <f t="shared" si="4"/>
        <v>Jul</v>
      </c>
      <c r="C159">
        <f t="shared" si="5"/>
        <v>7</v>
      </c>
      <c r="D159" t="s">
        <v>313</v>
      </c>
      <c r="E159" t="s">
        <v>314</v>
      </c>
      <c r="F159" t="s">
        <v>31</v>
      </c>
      <c r="G159" t="s">
        <v>32</v>
      </c>
      <c r="H159" t="s">
        <v>33</v>
      </c>
      <c r="I159" t="s">
        <v>22</v>
      </c>
      <c r="J159" t="s">
        <v>48</v>
      </c>
      <c r="K159">
        <v>8</v>
      </c>
      <c r="L159" s="4">
        <v>270.51</v>
      </c>
      <c r="M159">
        <v>-59.78</v>
      </c>
    </row>
    <row r="160" spans="1:13" x14ac:dyDescent="0.25">
      <c r="A160">
        <v>10159</v>
      </c>
      <c r="B160" t="str">
        <f t="shared" si="4"/>
        <v>Sep</v>
      </c>
      <c r="C160">
        <f t="shared" si="5"/>
        <v>9</v>
      </c>
      <c r="D160" t="s">
        <v>59</v>
      </c>
      <c r="E160" t="s">
        <v>315</v>
      </c>
      <c r="F160" t="s">
        <v>31</v>
      </c>
      <c r="G160" t="s">
        <v>14</v>
      </c>
      <c r="H160" t="s">
        <v>15</v>
      </c>
      <c r="I160" t="s">
        <v>16</v>
      </c>
      <c r="J160" t="s">
        <v>51</v>
      </c>
      <c r="K160">
        <v>6</v>
      </c>
      <c r="L160" s="4">
        <v>1922.87</v>
      </c>
      <c r="M160">
        <v>405.58</v>
      </c>
    </row>
    <row r="161" spans="1:13" x14ac:dyDescent="0.25">
      <c r="A161">
        <v>10160</v>
      </c>
      <c r="B161" t="str">
        <f t="shared" si="4"/>
        <v>Oct</v>
      </c>
      <c r="C161">
        <f t="shared" si="5"/>
        <v>10</v>
      </c>
      <c r="D161" t="s">
        <v>316</v>
      </c>
      <c r="E161" t="s">
        <v>196</v>
      </c>
      <c r="F161" t="s">
        <v>31</v>
      </c>
      <c r="G161" t="s">
        <v>32</v>
      </c>
      <c r="H161" t="s">
        <v>54</v>
      </c>
      <c r="I161" t="s">
        <v>22</v>
      </c>
      <c r="J161" t="s">
        <v>23</v>
      </c>
      <c r="K161">
        <v>1</v>
      </c>
      <c r="L161" s="4">
        <v>3704.81</v>
      </c>
      <c r="M161">
        <v>608.76</v>
      </c>
    </row>
    <row r="162" spans="1:13" x14ac:dyDescent="0.25">
      <c r="A162">
        <v>10161</v>
      </c>
      <c r="B162" t="str">
        <f t="shared" si="4"/>
        <v>Mar</v>
      </c>
      <c r="C162">
        <f t="shared" si="5"/>
        <v>3</v>
      </c>
      <c r="D162" t="s">
        <v>317</v>
      </c>
      <c r="E162" t="s">
        <v>318</v>
      </c>
      <c r="F162" t="s">
        <v>31</v>
      </c>
      <c r="G162" t="s">
        <v>32</v>
      </c>
      <c r="H162" t="s">
        <v>54</v>
      </c>
      <c r="I162" t="s">
        <v>22</v>
      </c>
      <c r="J162" t="s">
        <v>38</v>
      </c>
      <c r="K162">
        <v>8</v>
      </c>
      <c r="L162" s="4">
        <v>1080.8699999999999</v>
      </c>
      <c r="M162">
        <v>83.31</v>
      </c>
    </row>
    <row r="163" spans="1:13" x14ac:dyDescent="0.25">
      <c r="A163">
        <v>10162</v>
      </c>
      <c r="B163" t="str">
        <f t="shared" si="4"/>
        <v>Mar</v>
      </c>
      <c r="C163">
        <f t="shared" si="5"/>
        <v>3</v>
      </c>
      <c r="D163" t="s">
        <v>319</v>
      </c>
      <c r="E163" t="s">
        <v>320</v>
      </c>
      <c r="F163" t="s">
        <v>13</v>
      </c>
      <c r="G163" t="s">
        <v>14</v>
      </c>
      <c r="H163" t="s">
        <v>37</v>
      </c>
      <c r="I163" t="s">
        <v>16</v>
      </c>
      <c r="J163" t="s">
        <v>17</v>
      </c>
      <c r="K163">
        <v>2</v>
      </c>
      <c r="L163" s="4">
        <v>2794.99</v>
      </c>
      <c r="M163">
        <v>312.64</v>
      </c>
    </row>
    <row r="164" spans="1:13" x14ac:dyDescent="0.25">
      <c r="A164">
        <v>10163</v>
      </c>
      <c r="B164" t="str">
        <f t="shared" si="4"/>
        <v>Sep</v>
      </c>
      <c r="C164">
        <f t="shared" si="5"/>
        <v>9</v>
      </c>
      <c r="D164" t="s">
        <v>181</v>
      </c>
      <c r="E164" t="s">
        <v>321</v>
      </c>
      <c r="F164" t="s">
        <v>31</v>
      </c>
      <c r="G164" t="s">
        <v>46</v>
      </c>
      <c r="H164" t="s">
        <v>47</v>
      </c>
      <c r="I164" t="s">
        <v>16</v>
      </c>
      <c r="J164" t="s">
        <v>43</v>
      </c>
      <c r="K164">
        <v>2</v>
      </c>
      <c r="L164" s="4">
        <v>4927.1499999999996</v>
      </c>
      <c r="M164">
        <v>1198.3399999999999</v>
      </c>
    </row>
    <row r="165" spans="1:13" x14ac:dyDescent="0.25">
      <c r="A165">
        <v>10164</v>
      </c>
      <c r="B165" t="str">
        <f t="shared" si="4"/>
        <v>Sep</v>
      </c>
      <c r="C165">
        <f t="shared" si="5"/>
        <v>9</v>
      </c>
      <c r="D165" t="s">
        <v>322</v>
      </c>
      <c r="E165" t="s">
        <v>323</v>
      </c>
      <c r="F165" t="s">
        <v>31</v>
      </c>
      <c r="G165" t="s">
        <v>32</v>
      </c>
      <c r="H165" t="s">
        <v>54</v>
      </c>
      <c r="I165" t="s">
        <v>16</v>
      </c>
      <c r="J165" t="s">
        <v>43</v>
      </c>
      <c r="K165">
        <v>2</v>
      </c>
      <c r="L165" s="4">
        <v>422.17</v>
      </c>
      <c r="M165">
        <v>-8.56</v>
      </c>
    </row>
    <row r="166" spans="1:13" x14ac:dyDescent="0.25">
      <c r="A166">
        <v>10165</v>
      </c>
      <c r="B166" t="str">
        <f t="shared" si="4"/>
        <v>Oct</v>
      </c>
      <c r="C166">
        <f t="shared" si="5"/>
        <v>10</v>
      </c>
      <c r="D166" t="s">
        <v>324</v>
      </c>
      <c r="E166" t="s">
        <v>325</v>
      </c>
      <c r="F166" t="s">
        <v>13</v>
      </c>
      <c r="G166" t="s">
        <v>20</v>
      </c>
      <c r="H166" t="s">
        <v>21</v>
      </c>
      <c r="I166" t="s">
        <v>22</v>
      </c>
      <c r="J166" t="s">
        <v>38</v>
      </c>
      <c r="K166">
        <v>2</v>
      </c>
      <c r="L166" s="4">
        <v>2304.88</v>
      </c>
      <c r="M166">
        <v>472.68</v>
      </c>
    </row>
    <row r="167" spans="1:13" x14ac:dyDescent="0.25">
      <c r="A167">
        <v>10166</v>
      </c>
      <c r="B167" t="str">
        <f t="shared" si="4"/>
        <v>Dec</v>
      </c>
      <c r="C167">
        <f t="shared" si="5"/>
        <v>12</v>
      </c>
      <c r="D167" t="s">
        <v>326</v>
      </c>
      <c r="E167" t="s">
        <v>327</v>
      </c>
      <c r="F167" t="s">
        <v>31</v>
      </c>
      <c r="G167" t="s">
        <v>46</v>
      </c>
      <c r="H167" t="s">
        <v>71</v>
      </c>
      <c r="I167" t="s">
        <v>27</v>
      </c>
      <c r="J167" t="s">
        <v>118</v>
      </c>
      <c r="K167">
        <v>2</v>
      </c>
      <c r="L167" s="4">
        <v>2638.7</v>
      </c>
      <c r="M167">
        <v>316.36</v>
      </c>
    </row>
    <row r="168" spans="1:13" x14ac:dyDescent="0.25">
      <c r="A168">
        <v>10167</v>
      </c>
      <c r="B168" t="str">
        <f t="shared" si="4"/>
        <v>Sep</v>
      </c>
      <c r="C168">
        <f t="shared" si="5"/>
        <v>9</v>
      </c>
      <c r="D168" t="s">
        <v>328</v>
      </c>
      <c r="E168" t="s">
        <v>329</v>
      </c>
      <c r="F168" t="s">
        <v>26</v>
      </c>
      <c r="G168" t="s">
        <v>32</v>
      </c>
      <c r="H168" t="s">
        <v>33</v>
      </c>
      <c r="I168" t="s">
        <v>27</v>
      </c>
      <c r="J168" t="s">
        <v>104</v>
      </c>
      <c r="K168">
        <v>5</v>
      </c>
      <c r="L168" s="4">
        <v>713.33</v>
      </c>
      <c r="M168">
        <v>36.32</v>
      </c>
    </row>
    <row r="169" spans="1:13" x14ac:dyDescent="0.25">
      <c r="A169">
        <v>10168</v>
      </c>
      <c r="B169" t="str">
        <f t="shared" si="4"/>
        <v>Nov</v>
      </c>
      <c r="C169">
        <f t="shared" si="5"/>
        <v>11</v>
      </c>
      <c r="D169" t="s">
        <v>330</v>
      </c>
      <c r="E169" t="s">
        <v>331</v>
      </c>
      <c r="F169" t="s">
        <v>13</v>
      </c>
      <c r="G169" t="s">
        <v>46</v>
      </c>
      <c r="H169" t="s">
        <v>71</v>
      </c>
      <c r="I169" t="s">
        <v>16</v>
      </c>
      <c r="J169" t="s">
        <v>17</v>
      </c>
      <c r="K169">
        <v>1</v>
      </c>
      <c r="L169" s="4">
        <v>4143.66</v>
      </c>
      <c r="M169">
        <v>232.03</v>
      </c>
    </row>
    <row r="170" spans="1:13" x14ac:dyDescent="0.25">
      <c r="A170">
        <v>10169</v>
      </c>
      <c r="B170" t="str">
        <f t="shared" si="4"/>
        <v>Jun</v>
      </c>
      <c r="C170">
        <f t="shared" si="5"/>
        <v>6</v>
      </c>
      <c r="D170" t="s">
        <v>216</v>
      </c>
      <c r="E170" t="s">
        <v>332</v>
      </c>
      <c r="F170" t="s">
        <v>26</v>
      </c>
      <c r="G170" t="s">
        <v>32</v>
      </c>
      <c r="H170" t="s">
        <v>33</v>
      </c>
      <c r="I170" t="s">
        <v>16</v>
      </c>
      <c r="J170" t="s">
        <v>51</v>
      </c>
      <c r="K170">
        <v>1</v>
      </c>
      <c r="L170" s="4">
        <v>2540.39</v>
      </c>
      <c r="M170">
        <v>496.36</v>
      </c>
    </row>
    <row r="171" spans="1:13" x14ac:dyDescent="0.25">
      <c r="A171">
        <v>10170</v>
      </c>
      <c r="B171" t="str">
        <f t="shared" si="4"/>
        <v>Jun</v>
      </c>
      <c r="C171">
        <f t="shared" si="5"/>
        <v>6</v>
      </c>
      <c r="D171" t="s">
        <v>157</v>
      </c>
      <c r="E171" t="s">
        <v>333</v>
      </c>
      <c r="F171" t="s">
        <v>26</v>
      </c>
      <c r="G171" t="s">
        <v>20</v>
      </c>
      <c r="H171" t="s">
        <v>76</v>
      </c>
      <c r="I171" t="s">
        <v>27</v>
      </c>
      <c r="J171" t="s">
        <v>118</v>
      </c>
      <c r="K171">
        <v>1</v>
      </c>
      <c r="L171" s="4">
        <v>874.59</v>
      </c>
      <c r="M171">
        <v>88.16</v>
      </c>
    </row>
    <row r="172" spans="1:13" x14ac:dyDescent="0.25">
      <c r="A172">
        <v>10171</v>
      </c>
      <c r="B172" t="str">
        <f t="shared" si="4"/>
        <v>Jun</v>
      </c>
      <c r="C172">
        <f t="shared" si="5"/>
        <v>6</v>
      </c>
      <c r="D172" t="s">
        <v>334</v>
      </c>
      <c r="E172" t="s">
        <v>335</v>
      </c>
      <c r="F172" t="s">
        <v>31</v>
      </c>
      <c r="G172" t="s">
        <v>32</v>
      </c>
      <c r="H172" t="s">
        <v>54</v>
      </c>
      <c r="I172" t="s">
        <v>16</v>
      </c>
      <c r="J172" t="s">
        <v>17</v>
      </c>
      <c r="K172">
        <v>7</v>
      </c>
      <c r="L172" s="4">
        <v>740.75</v>
      </c>
      <c r="M172">
        <v>49.49</v>
      </c>
    </row>
    <row r="173" spans="1:13" x14ac:dyDescent="0.25">
      <c r="A173">
        <v>10172</v>
      </c>
      <c r="B173" t="str">
        <f t="shared" si="4"/>
        <v>Nov</v>
      </c>
      <c r="C173">
        <f t="shared" si="5"/>
        <v>11</v>
      </c>
      <c r="D173" t="s">
        <v>336</v>
      </c>
      <c r="E173" t="s">
        <v>287</v>
      </c>
      <c r="F173" t="s">
        <v>26</v>
      </c>
      <c r="G173" t="s">
        <v>14</v>
      </c>
      <c r="H173" t="s">
        <v>37</v>
      </c>
      <c r="I173" t="s">
        <v>27</v>
      </c>
      <c r="J173" t="s">
        <v>104</v>
      </c>
      <c r="K173">
        <v>3</v>
      </c>
      <c r="L173" s="4">
        <v>574.38</v>
      </c>
      <c r="M173">
        <v>31.98</v>
      </c>
    </row>
    <row r="174" spans="1:13" x14ac:dyDescent="0.25">
      <c r="A174">
        <v>10173</v>
      </c>
      <c r="B174" t="str">
        <f t="shared" si="4"/>
        <v>Sep</v>
      </c>
      <c r="C174">
        <f t="shared" si="5"/>
        <v>9</v>
      </c>
      <c r="D174" t="s">
        <v>337</v>
      </c>
      <c r="E174" t="s">
        <v>338</v>
      </c>
      <c r="F174" t="s">
        <v>31</v>
      </c>
      <c r="G174" t="s">
        <v>46</v>
      </c>
      <c r="H174" t="s">
        <v>47</v>
      </c>
      <c r="I174" t="s">
        <v>16</v>
      </c>
      <c r="J174" t="s">
        <v>17</v>
      </c>
      <c r="K174">
        <v>4</v>
      </c>
      <c r="L174" s="4">
        <v>3839.29</v>
      </c>
      <c r="M174">
        <v>618.74</v>
      </c>
    </row>
    <row r="175" spans="1:13" x14ac:dyDescent="0.25">
      <c r="A175">
        <v>10174</v>
      </c>
      <c r="B175" t="str">
        <f t="shared" si="4"/>
        <v>Sep</v>
      </c>
      <c r="C175">
        <f t="shared" si="5"/>
        <v>9</v>
      </c>
      <c r="D175" t="s">
        <v>339</v>
      </c>
      <c r="E175" t="s">
        <v>166</v>
      </c>
      <c r="F175" t="s">
        <v>13</v>
      </c>
      <c r="G175" t="s">
        <v>14</v>
      </c>
      <c r="H175" t="s">
        <v>15</v>
      </c>
      <c r="I175" t="s">
        <v>27</v>
      </c>
      <c r="J175" t="s">
        <v>77</v>
      </c>
      <c r="K175">
        <v>4</v>
      </c>
      <c r="L175" s="4">
        <v>1154.21</v>
      </c>
      <c r="M175">
        <v>154.49</v>
      </c>
    </row>
    <row r="176" spans="1:13" x14ac:dyDescent="0.25">
      <c r="A176">
        <v>10175</v>
      </c>
      <c r="B176" t="str">
        <f t="shared" si="4"/>
        <v>Jul</v>
      </c>
      <c r="C176">
        <f t="shared" si="5"/>
        <v>7</v>
      </c>
      <c r="D176" t="s">
        <v>189</v>
      </c>
      <c r="E176" t="s">
        <v>340</v>
      </c>
      <c r="F176" t="s">
        <v>26</v>
      </c>
      <c r="G176" t="s">
        <v>20</v>
      </c>
      <c r="H176" t="s">
        <v>76</v>
      </c>
      <c r="I176" t="s">
        <v>16</v>
      </c>
      <c r="J176" t="s">
        <v>81</v>
      </c>
      <c r="K176">
        <v>2</v>
      </c>
      <c r="L176" s="4">
        <v>2211.5500000000002</v>
      </c>
      <c r="M176">
        <v>525.73</v>
      </c>
    </row>
    <row r="177" spans="1:13" x14ac:dyDescent="0.25">
      <c r="A177">
        <v>10176</v>
      </c>
      <c r="B177" t="str">
        <f t="shared" si="4"/>
        <v>Oct</v>
      </c>
      <c r="C177">
        <f t="shared" si="5"/>
        <v>10</v>
      </c>
      <c r="D177" t="s">
        <v>341</v>
      </c>
      <c r="E177" t="s">
        <v>158</v>
      </c>
      <c r="F177" t="s">
        <v>13</v>
      </c>
      <c r="G177" t="s">
        <v>20</v>
      </c>
      <c r="H177" t="s">
        <v>21</v>
      </c>
      <c r="I177" t="s">
        <v>16</v>
      </c>
      <c r="J177" t="s">
        <v>43</v>
      </c>
      <c r="K177">
        <v>6</v>
      </c>
      <c r="L177" s="4">
        <v>2810.79</v>
      </c>
      <c r="M177">
        <v>141.78</v>
      </c>
    </row>
    <row r="178" spans="1:13" x14ac:dyDescent="0.25">
      <c r="A178">
        <v>10177</v>
      </c>
      <c r="B178" t="str">
        <f t="shared" si="4"/>
        <v>Mar</v>
      </c>
      <c r="C178">
        <f t="shared" si="5"/>
        <v>3</v>
      </c>
      <c r="D178" t="s">
        <v>342</v>
      </c>
      <c r="E178" t="s">
        <v>217</v>
      </c>
      <c r="F178" t="s">
        <v>13</v>
      </c>
      <c r="G178" t="s">
        <v>14</v>
      </c>
      <c r="H178" t="s">
        <v>15</v>
      </c>
      <c r="I178" t="s">
        <v>22</v>
      </c>
      <c r="J178" t="s">
        <v>34</v>
      </c>
      <c r="K178">
        <v>6</v>
      </c>
      <c r="L178" s="4">
        <v>3995</v>
      </c>
      <c r="M178">
        <v>444.52</v>
      </c>
    </row>
    <row r="179" spans="1:13" x14ac:dyDescent="0.25">
      <c r="A179">
        <v>10178</v>
      </c>
      <c r="B179" t="str">
        <f t="shared" si="4"/>
        <v>Mar</v>
      </c>
      <c r="C179">
        <f t="shared" si="5"/>
        <v>3</v>
      </c>
      <c r="D179" t="s">
        <v>100</v>
      </c>
      <c r="E179" t="s">
        <v>343</v>
      </c>
      <c r="F179" t="s">
        <v>13</v>
      </c>
      <c r="G179" t="s">
        <v>20</v>
      </c>
      <c r="H179" t="s">
        <v>21</v>
      </c>
      <c r="I179" t="s">
        <v>22</v>
      </c>
      <c r="J179" t="s">
        <v>23</v>
      </c>
      <c r="K179">
        <v>3</v>
      </c>
      <c r="L179" s="4">
        <v>3596.6</v>
      </c>
      <c r="M179">
        <v>850.78</v>
      </c>
    </row>
    <row r="180" spans="1:13" x14ac:dyDescent="0.25">
      <c r="A180">
        <v>10179</v>
      </c>
      <c r="B180" t="str">
        <f t="shared" si="4"/>
        <v>Oct</v>
      </c>
      <c r="C180">
        <f t="shared" si="5"/>
        <v>10</v>
      </c>
      <c r="D180" t="s">
        <v>344</v>
      </c>
      <c r="E180" t="s">
        <v>345</v>
      </c>
      <c r="F180" t="s">
        <v>13</v>
      </c>
      <c r="G180" t="s">
        <v>46</v>
      </c>
      <c r="H180" t="s">
        <v>47</v>
      </c>
      <c r="I180" t="s">
        <v>16</v>
      </c>
      <c r="J180" t="s">
        <v>17</v>
      </c>
      <c r="K180">
        <v>3</v>
      </c>
      <c r="L180" s="4">
        <v>2025.48</v>
      </c>
      <c r="M180">
        <v>329.19</v>
      </c>
    </row>
    <row r="181" spans="1:13" x14ac:dyDescent="0.25">
      <c r="A181">
        <v>10180</v>
      </c>
      <c r="B181" t="str">
        <f t="shared" si="4"/>
        <v>Jun</v>
      </c>
      <c r="C181">
        <f t="shared" si="5"/>
        <v>6</v>
      </c>
      <c r="D181" t="s">
        <v>346</v>
      </c>
      <c r="E181" t="s">
        <v>347</v>
      </c>
      <c r="F181" t="s">
        <v>13</v>
      </c>
      <c r="G181" t="s">
        <v>20</v>
      </c>
      <c r="H181" t="s">
        <v>76</v>
      </c>
      <c r="I181" t="s">
        <v>27</v>
      </c>
      <c r="J181" t="s">
        <v>118</v>
      </c>
      <c r="K181">
        <v>6</v>
      </c>
      <c r="L181" s="4">
        <v>1723.07</v>
      </c>
      <c r="M181">
        <v>91.71</v>
      </c>
    </row>
    <row r="182" spans="1:13" x14ac:dyDescent="0.25">
      <c r="A182">
        <v>10181</v>
      </c>
      <c r="B182" t="str">
        <f t="shared" si="4"/>
        <v>Nov</v>
      </c>
      <c r="C182">
        <f t="shared" si="5"/>
        <v>11</v>
      </c>
      <c r="D182" t="s">
        <v>348</v>
      </c>
      <c r="E182" t="s">
        <v>349</v>
      </c>
      <c r="F182" t="s">
        <v>31</v>
      </c>
      <c r="G182" t="s">
        <v>14</v>
      </c>
      <c r="H182" t="s">
        <v>37</v>
      </c>
      <c r="I182" t="s">
        <v>27</v>
      </c>
      <c r="J182" t="s">
        <v>104</v>
      </c>
      <c r="K182">
        <v>1</v>
      </c>
      <c r="L182" s="4">
        <v>2959.26</v>
      </c>
      <c r="M182">
        <v>211.21</v>
      </c>
    </row>
    <row r="183" spans="1:13" x14ac:dyDescent="0.25">
      <c r="A183">
        <v>10182</v>
      </c>
      <c r="B183" t="str">
        <f t="shared" si="4"/>
        <v>Dec</v>
      </c>
      <c r="C183">
        <f t="shared" si="5"/>
        <v>12</v>
      </c>
      <c r="D183" t="s">
        <v>232</v>
      </c>
      <c r="E183" t="s">
        <v>350</v>
      </c>
      <c r="F183" t="s">
        <v>31</v>
      </c>
      <c r="G183" t="s">
        <v>46</v>
      </c>
      <c r="H183" t="s">
        <v>71</v>
      </c>
      <c r="I183" t="s">
        <v>22</v>
      </c>
      <c r="J183" t="s">
        <v>23</v>
      </c>
      <c r="K183">
        <v>4</v>
      </c>
      <c r="L183" s="4">
        <v>192.79</v>
      </c>
      <c r="M183">
        <v>9.6199999999999992</v>
      </c>
    </row>
    <row r="184" spans="1:13" x14ac:dyDescent="0.25">
      <c r="A184">
        <v>10183</v>
      </c>
      <c r="B184" t="str">
        <f t="shared" si="4"/>
        <v>Jul</v>
      </c>
      <c r="C184">
        <f t="shared" si="5"/>
        <v>7</v>
      </c>
      <c r="D184" t="s">
        <v>351</v>
      </c>
      <c r="E184" t="s">
        <v>352</v>
      </c>
      <c r="F184" t="s">
        <v>26</v>
      </c>
      <c r="G184" t="s">
        <v>20</v>
      </c>
      <c r="H184" t="s">
        <v>21</v>
      </c>
      <c r="I184" t="s">
        <v>16</v>
      </c>
      <c r="J184" t="s">
        <v>43</v>
      </c>
      <c r="K184">
        <v>4</v>
      </c>
      <c r="L184" s="4">
        <v>2848.35</v>
      </c>
      <c r="M184">
        <v>805.33</v>
      </c>
    </row>
    <row r="185" spans="1:13" x14ac:dyDescent="0.25">
      <c r="A185">
        <v>10184</v>
      </c>
      <c r="B185" t="str">
        <f t="shared" si="4"/>
        <v>Oct</v>
      </c>
      <c r="C185">
        <f t="shared" si="5"/>
        <v>10</v>
      </c>
      <c r="D185" t="s">
        <v>353</v>
      </c>
      <c r="E185" t="s">
        <v>354</v>
      </c>
      <c r="F185" t="s">
        <v>26</v>
      </c>
      <c r="G185" t="s">
        <v>20</v>
      </c>
      <c r="H185" t="s">
        <v>76</v>
      </c>
      <c r="I185" t="s">
        <v>16</v>
      </c>
      <c r="J185" t="s">
        <v>17</v>
      </c>
      <c r="K185">
        <v>5</v>
      </c>
      <c r="L185" s="4">
        <v>3089.38</v>
      </c>
      <c r="M185">
        <v>278.31</v>
      </c>
    </row>
    <row r="186" spans="1:13" x14ac:dyDescent="0.25">
      <c r="A186">
        <v>10185</v>
      </c>
      <c r="B186" t="str">
        <f t="shared" si="4"/>
        <v>May</v>
      </c>
      <c r="C186">
        <f t="shared" si="5"/>
        <v>5</v>
      </c>
      <c r="D186" t="s">
        <v>167</v>
      </c>
      <c r="E186" t="s">
        <v>355</v>
      </c>
      <c r="F186" t="s">
        <v>26</v>
      </c>
      <c r="G186" t="s">
        <v>32</v>
      </c>
      <c r="H186" t="s">
        <v>54</v>
      </c>
      <c r="I186" t="s">
        <v>16</v>
      </c>
      <c r="J186" t="s">
        <v>43</v>
      </c>
      <c r="K186">
        <v>8</v>
      </c>
      <c r="L186" s="4">
        <v>1653.5</v>
      </c>
      <c r="M186">
        <v>133.49</v>
      </c>
    </row>
    <row r="187" spans="1:13" x14ac:dyDescent="0.25">
      <c r="A187">
        <v>10186</v>
      </c>
      <c r="B187" t="str">
        <f t="shared" si="4"/>
        <v>Aug</v>
      </c>
      <c r="C187">
        <f t="shared" si="5"/>
        <v>8</v>
      </c>
      <c r="D187" t="s">
        <v>191</v>
      </c>
      <c r="E187" t="s">
        <v>356</v>
      </c>
      <c r="F187" t="s">
        <v>31</v>
      </c>
      <c r="G187" t="s">
        <v>20</v>
      </c>
      <c r="H187" t="s">
        <v>76</v>
      </c>
      <c r="I187" t="s">
        <v>27</v>
      </c>
      <c r="J187" t="s">
        <v>104</v>
      </c>
      <c r="K187">
        <v>5</v>
      </c>
      <c r="L187" s="4">
        <v>306.13</v>
      </c>
      <c r="M187">
        <v>80.52</v>
      </c>
    </row>
    <row r="188" spans="1:13" x14ac:dyDescent="0.25">
      <c r="A188">
        <v>10187</v>
      </c>
      <c r="B188" t="str">
        <f t="shared" si="4"/>
        <v>May</v>
      </c>
      <c r="C188">
        <f t="shared" si="5"/>
        <v>5</v>
      </c>
      <c r="D188" t="s">
        <v>357</v>
      </c>
      <c r="E188" t="s">
        <v>235</v>
      </c>
      <c r="F188" t="s">
        <v>13</v>
      </c>
      <c r="G188" t="s">
        <v>20</v>
      </c>
      <c r="H188" t="s">
        <v>21</v>
      </c>
      <c r="I188" t="s">
        <v>22</v>
      </c>
      <c r="J188" t="s">
        <v>38</v>
      </c>
      <c r="K188">
        <v>5</v>
      </c>
      <c r="L188" s="4">
        <v>772.64</v>
      </c>
      <c r="M188">
        <v>98.87</v>
      </c>
    </row>
    <row r="189" spans="1:13" x14ac:dyDescent="0.25">
      <c r="A189">
        <v>10188</v>
      </c>
      <c r="B189" t="str">
        <f t="shared" si="4"/>
        <v>Mar</v>
      </c>
      <c r="C189">
        <f t="shared" si="5"/>
        <v>3</v>
      </c>
      <c r="D189" t="s">
        <v>358</v>
      </c>
      <c r="E189" t="s">
        <v>359</v>
      </c>
      <c r="F189" t="s">
        <v>13</v>
      </c>
      <c r="G189" t="s">
        <v>46</v>
      </c>
      <c r="H189" t="s">
        <v>71</v>
      </c>
      <c r="I189" t="s">
        <v>22</v>
      </c>
      <c r="J189" t="s">
        <v>23</v>
      </c>
      <c r="K189">
        <v>7</v>
      </c>
      <c r="L189" s="4">
        <v>1718.44</v>
      </c>
      <c r="M189">
        <v>220.75</v>
      </c>
    </row>
    <row r="190" spans="1:13" x14ac:dyDescent="0.25">
      <c r="A190">
        <v>10189</v>
      </c>
      <c r="B190" t="str">
        <f t="shared" si="4"/>
        <v>May</v>
      </c>
      <c r="C190">
        <f t="shared" si="5"/>
        <v>5</v>
      </c>
      <c r="D190" t="s">
        <v>360</v>
      </c>
      <c r="E190" t="s">
        <v>361</v>
      </c>
      <c r="F190" t="s">
        <v>26</v>
      </c>
      <c r="G190" t="s">
        <v>46</v>
      </c>
      <c r="H190" t="s">
        <v>47</v>
      </c>
      <c r="I190" t="s">
        <v>16</v>
      </c>
      <c r="J190" t="s">
        <v>51</v>
      </c>
      <c r="K190">
        <v>8</v>
      </c>
      <c r="L190" s="4">
        <v>3287.64</v>
      </c>
      <c r="M190">
        <v>756.95</v>
      </c>
    </row>
    <row r="191" spans="1:13" x14ac:dyDescent="0.25">
      <c r="A191">
        <v>10190</v>
      </c>
      <c r="B191" t="str">
        <f t="shared" si="4"/>
        <v>Jan</v>
      </c>
      <c r="C191">
        <f t="shared" si="5"/>
        <v>1</v>
      </c>
      <c r="D191" t="s">
        <v>362</v>
      </c>
      <c r="E191" t="s">
        <v>363</v>
      </c>
      <c r="F191" t="s">
        <v>31</v>
      </c>
      <c r="G191" t="s">
        <v>14</v>
      </c>
      <c r="H191" t="s">
        <v>15</v>
      </c>
      <c r="I191" t="s">
        <v>16</v>
      </c>
      <c r="J191" t="s">
        <v>81</v>
      </c>
      <c r="K191">
        <v>3</v>
      </c>
      <c r="L191" s="4">
        <v>2147.64</v>
      </c>
      <c r="M191">
        <v>463.71</v>
      </c>
    </row>
    <row r="192" spans="1:13" x14ac:dyDescent="0.25">
      <c r="A192">
        <v>10191</v>
      </c>
      <c r="B192" t="str">
        <f t="shared" si="4"/>
        <v>Jun</v>
      </c>
      <c r="C192">
        <f t="shared" si="5"/>
        <v>6</v>
      </c>
      <c r="D192" t="s">
        <v>132</v>
      </c>
      <c r="E192" t="s">
        <v>364</v>
      </c>
      <c r="F192" t="s">
        <v>31</v>
      </c>
      <c r="G192" t="s">
        <v>20</v>
      </c>
      <c r="H192" t="s">
        <v>21</v>
      </c>
      <c r="I192" t="s">
        <v>16</v>
      </c>
      <c r="J192" t="s">
        <v>17</v>
      </c>
      <c r="K192">
        <v>1</v>
      </c>
      <c r="L192" s="4">
        <v>145.41</v>
      </c>
      <c r="M192">
        <v>17.190000000000001</v>
      </c>
    </row>
    <row r="193" spans="1:13" x14ac:dyDescent="0.25">
      <c r="A193">
        <v>10192</v>
      </c>
      <c r="B193" t="str">
        <f t="shared" si="4"/>
        <v>Aug</v>
      </c>
      <c r="C193">
        <f t="shared" si="5"/>
        <v>8</v>
      </c>
      <c r="D193" t="s">
        <v>296</v>
      </c>
      <c r="E193" t="s">
        <v>365</v>
      </c>
      <c r="F193" t="s">
        <v>31</v>
      </c>
      <c r="G193" t="s">
        <v>20</v>
      </c>
      <c r="H193" t="s">
        <v>21</v>
      </c>
      <c r="I193" t="s">
        <v>16</v>
      </c>
      <c r="J193" t="s">
        <v>51</v>
      </c>
      <c r="K193">
        <v>5</v>
      </c>
      <c r="L193" s="4">
        <v>1044.78</v>
      </c>
      <c r="M193">
        <v>65.41</v>
      </c>
    </row>
    <row r="194" spans="1:13" x14ac:dyDescent="0.25">
      <c r="A194">
        <v>10193</v>
      </c>
      <c r="B194" t="str">
        <f t="shared" ref="B194:B257" si="6">TEXT(D194,"mmm")</f>
        <v>Nov</v>
      </c>
      <c r="C194">
        <f t="shared" ref="C194:C257" si="7">MONTH(D194)</f>
        <v>11</v>
      </c>
      <c r="D194" t="s">
        <v>41</v>
      </c>
      <c r="E194" t="s">
        <v>366</v>
      </c>
      <c r="F194" t="s">
        <v>31</v>
      </c>
      <c r="G194" t="s">
        <v>46</v>
      </c>
      <c r="H194" t="s">
        <v>71</v>
      </c>
      <c r="I194" t="s">
        <v>16</v>
      </c>
      <c r="J194" t="s">
        <v>17</v>
      </c>
      <c r="K194">
        <v>5</v>
      </c>
      <c r="L194" s="4">
        <v>2882.13</v>
      </c>
      <c r="M194">
        <v>672.2</v>
      </c>
    </row>
    <row r="195" spans="1:13" x14ac:dyDescent="0.25">
      <c r="A195">
        <v>10194</v>
      </c>
      <c r="B195" t="str">
        <f t="shared" si="6"/>
        <v>Jan</v>
      </c>
      <c r="C195">
        <f t="shared" si="7"/>
        <v>1</v>
      </c>
      <c r="D195" t="s">
        <v>253</v>
      </c>
      <c r="E195" t="s">
        <v>367</v>
      </c>
      <c r="F195" t="s">
        <v>31</v>
      </c>
      <c r="G195" t="s">
        <v>32</v>
      </c>
      <c r="H195" t="s">
        <v>33</v>
      </c>
      <c r="I195" t="s">
        <v>27</v>
      </c>
      <c r="J195" t="s">
        <v>118</v>
      </c>
      <c r="K195">
        <v>3</v>
      </c>
      <c r="L195" s="4">
        <v>4910.26</v>
      </c>
      <c r="M195">
        <v>738.04</v>
      </c>
    </row>
    <row r="196" spans="1:13" x14ac:dyDescent="0.25">
      <c r="A196">
        <v>10195</v>
      </c>
      <c r="B196" t="str">
        <f t="shared" si="6"/>
        <v>Jul</v>
      </c>
      <c r="C196">
        <f t="shared" si="7"/>
        <v>7</v>
      </c>
      <c r="D196" t="s">
        <v>368</v>
      </c>
      <c r="E196" t="s">
        <v>369</v>
      </c>
      <c r="F196" t="s">
        <v>26</v>
      </c>
      <c r="G196" t="s">
        <v>46</v>
      </c>
      <c r="H196" t="s">
        <v>47</v>
      </c>
      <c r="I196" t="s">
        <v>27</v>
      </c>
      <c r="J196" t="s">
        <v>28</v>
      </c>
      <c r="K196">
        <v>5</v>
      </c>
      <c r="L196" s="4">
        <v>2954.06</v>
      </c>
      <c r="M196">
        <v>544.63</v>
      </c>
    </row>
    <row r="197" spans="1:13" x14ac:dyDescent="0.25">
      <c r="A197">
        <v>10196</v>
      </c>
      <c r="B197" t="str">
        <f t="shared" si="6"/>
        <v>Dec</v>
      </c>
      <c r="C197">
        <f t="shared" si="7"/>
        <v>12</v>
      </c>
      <c r="D197" t="s">
        <v>370</v>
      </c>
      <c r="E197" t="s">
        <v>371</v>
      </c>
      <c r="F197" t="s">
        <v>31</v>
      </c>
      <c r="G197" t="s">
        <v>14</v>
      </c>
      <c r="H197" t="s">
        <v>15</v>
      </c>
      <c r="I197" t="s">
        <v>27</v>
      </c>
      <c r="J197" t="s">
        <v>28</v>
      </c>
      <c r="K197">
        <v>3</v>
      </c>
      <c r="L197" s="4">
        <v>2086.54</v>
      </c>
      <c r="M197">
        <v>276.95</v>
      </c>
    </row>
    <row r="198" spans="1:13" x14ac:dyDescent="0.25">
      <c r="A198">
        <v>10197</v>
      </c>
      <c r="B198" t="str">
        <f t="shared" si="6"/>
        <v>Nov</v>
      </c>
      <c r="C198">
        <f t="shared" si="7"/>
        <v>11</v>
      </c>
      <c r="D198" t="s">
        <v>372</v>
      </c>
      <c r="E198" t="s">
        <v>373</v>
      </c>
      <c r="F198" t="s">
        <v>31</v>
      </c>
      <c r="G198" t="s">
        <v>14</v>
      </c>
      <c r="H198" t="s">
        <v>37</v>
      </c>
      <c r="I198" t="s">
        <v>27</v>
      </c>
      <c r="J198" t="s">
        <v>104</v>
      </c>
      <c r="K198">
        <v>4</v>
      </c>
      <c r="L198" s="4">
        <v>4791.07</v>
      </c>
      <c r="M198">
        <v>766.81</v>
      </c>
    </row>
    <row r="199" spans="1:13" x14ac:dyDescent="0.25">
      <c r="A199">
        <v>10198</v>
      </c>
      <c r="B199" t="str">
        <f t="shared" si="6"/>
        <v>Feb</v>
      </c>
      <c r="C199">
        <f t="shared" si="7"/>
        <v>2</v>
      </c>
      <c r="D199" t="s">
        <v>374</v>
      </c>
      <c r="E199" t="s">
        <v>375</v>
      </c>
      <c r="F199" t="s">
        <v>13</v>
      </c>
      <c r="G199" t="s">
        <v>20</v>
      </c>
      <c r="H199" t="s">
        <v>21</v>
      </c>
      <c r="I199" t="s">
        <v>22</v>
      </c>
      <c r="J199" t="s">
        <v>23</v>
      </c>
      <c r="K199">
        <v>8</v>
      </c>
      <c r="L199" s="4">
        <v>2688.05</v>
      </c>
      <c r="M199">
        <v>285.8</v>
      </c>
    </row>
    <row r="200" spans="1:13" x14ac:dyDescent="0.25">
      <c r="A200">
        <v>10199</v>
      </c>
      <c r="B200" t="str">
        <f t="shared" si="6"/>
        <v>Feb</v>
      </c>
      <c r="C200">
        <f t="shared" si="7"/>
        <v>2</v>
      </c>
      <c r="D200" t="s">
        <v>52</v>
      </c>
      <c r="E200" t="s">
        <v>376</v>
      </c>
      <c r="F200" t="s">
        <v>31</v>
      </c>
      <c r="G200" t="s">
        <v>46</v>
      </c>
      <c r="H200" t="s">
        <v>71</v>
      </c>
      <c r="I200" t="s">
        <v>22</v>
      </c>
      <c r="J200" t="s">
        <v>38</v>
      </c>
      <c r="K200">
        <v>8</v>
      </c>
      <c r="L200" s="4">
        <v>669.58</v>
      </c>
      <c r="M200">
        <v>9.5500000000000007</v>
      </c>
    </row>
    <row r="201" spans="1:13" x14ac:dyDescent="0.25">
      <c r="A201">
        <v>10200</v>
      </c>
      <c r="B201" t="str">
        <f t="shared" si="6"/>
        <v>Jun</v>
      </c>
      <c r="C201">
        <f t="shared" si="7"/>
        <v>6</v>
      </c>
      <c r="D201" t="s">
        <v>346</v>
      </c>
      <c r="E201" t="s">
        <v>377</v>
      </c>
      <c r="F201" t="s">
        <v>26</v>
      </c>
      <c r="G201" t="s">
        <v>14</v>
      </c>
      <c r="H201" t="s">
        <v>37</v>
      </c>
      <c r="I201" t="s">
        <v>22</v>
      </c>
      <c r="J201" t="s">
        <v>34</v>
      </c>
      <c r="K201">
        <v>8</v>
      </c>
      <c r="L201" s="4">
        <v>2863.16</v>
      </c>
      <c r="M201">
        <v>475.86</v>
      </c>
    </row>
    <row r="202" spans="1:13" x14ac:dyDescent="0.25">
      <c r="A202">
        <v>10201</v>
      </c>
      <c r="B202" t="str">
        <f t="shared" si="6"/>
        <v>Jan</v>
      </c>
      <c r="C202">
        <f t="shared" si="7"/>
        <v>1</v>
      </c>
      <c r="D202" t="s">
        <v>378</v>
      </c>
      <c r="E202" t="s">
        <v>379</v>
      </c>
      <c r="F202" t="s">
        <v>31</v>
      </c>
      <c r="G202" t="s">
        <v>20</v>
      </c>
      <c r="H202" t="s">
        <v>76</v>
      </c>
      <c r="I202" t="s">
        <v>22</v>
      </c>
      <c r="J202" t="s">
        <v>48</v>
      </c>
      <c r="K202">
        <v>2</v>
      </c>
      <c r="L202" s="4">
        <v>321.92</v>
      </c>
      <c r="M202">
        <v>37.450000000000003</v>
      </c>
    </row>
    <row r="203" spans="1:13" x14ac:dyDescent="0.25">
      <c r="A203">
        <v>10202</v>
      </c>
      <c r="B203" t="str">
        <f t="shared" si="6"/>
        <v>Aug</v>
      </c>
      <c r="C203">
        <f t="shared" si="7"/>
        <v>8</v>
      </c>
      <c r="D203" t="s">
        <v>152</v>
      </c>
      <c r="E203" t="s">
        <v>380</v>
      </c>
      <c r="F203" t="s">
        <v>31</v>
      </c>
      <c r="G203" t="s">
        <v>14</v>
      </c>
      <c r="H203" t="s">
        <v>37</v>
      </c>
      <c r="I203" t="s">
        <v>27</v>
      </c>
      <c r="J203" t="s">
        <v>104</v>
      </c>
      <c r="K203">
        <v>3</v>
      </c>
      <c r="L203" s="4">
        <v>3852.56</v>
      </c>
      <c r="M203">
        <v>1070.31</v>
      </c>
    </row>
    <row r="204" spans="1:13" x14ac:dyDescent="0.25">
      <c r="A204">
        <v>10203</v>
      </c>
      <c r="B204" t="str">
        <f t="shared" si="6"/>
        <v>Oct</v>
      </c>
      <c r="C204">
        <f t="shared" si="7"/>
        <v>10</v>
      </c>
      <c r="D204" t="s">
        <v>114</v>
      </c>
      <c r="E204" t="s">
        <v>381</v>
      </c>
      <c r="F204" t="s">
        <v>13</v>
      </c>
      <c r="G204" t="s">
        <v>20</v>
      </c>
      <c r="H204" t="s">
        <v>76</v>
      </c>
      <c r="I204" t="s">
        <v>27</v>
      </c>
      <c r="J204" t="s">
        <v>118</v>
      </c>
      <c r="K204">
        <v>3</v>
      </c>
      <c r="L204" s="4">
        <v>3302.32</v>
      </c>
      <c r="M204">
        <v>434.38</v>
      </c>
    </row>
    <row r="205" spans="1:13" x14ac:dyDescent="0.25">
      <c r="A205">
        <v>10204</v>
      </c>
      <c r="B205" t="str">
        <f t="shared" si="6"/>
        <v>Jul</v>
      </c>
      <c r="C205">
        <f t="shared" si="7"/>
        <v>7</v>
      </c>
      <c r="D205" t="s">
        <v>144</v>
      </c>
      <c r="E205" t="s">
        <v>382</v>
      </c>
      <c r="F205" t="s">
        <v>26</v>
      </c>
      <c r="G205" t="s">
        <v>46</v>
      </c>
      <c r="H205" t="s">
        <v>71</v>
      </c>
      <c r="I205" t="s">
        <v>22</v>
      </c>
      <c r="J205" t="s">
        <v>23</v>
      </c>
      <c r="K205">
        <v>5</v>
      </c>
      <c r="L205" s="4">
        <v>2368.7199999999998</v>
      </c>
      <c r="M205">
        <v>501.86</v>
      </c>
    </row>
    <row r="206" spans="1:13" x14ac:dyDescent="0.25">
      <c r="A206">
        <v>10205</v>
      </c>
      <c r="B206" t="str">
        <f t="shared" si="6"/>
        <v>Jan</v>
      </c>
      <c r="C206">
        <f t="shared" si="7"/>
        <v>1</v>
      </c>
      <c r="D206" t="s">
        <v>383</v>
      </c>
      <c r="E206" t="s">
        <v>384</v>
      </c>
      <c r="F206" t="s">
        <v>13</v>
      </c>
      <c r="G206" t="s">
        <v>46</v>
      </c>
      <c r="H206" t="s">
        <v>47</v>
      </c>
      <c r="I206" t="s">
        <v>27</v>
      </c>
      <c r="J206" t="s">
        <v>104</v>
      </c>
      <c r="K206">
        <v>5</v>
      </c>
      <c r="L206" s="4">
        <v>1023.55</v>
      </c>
      <c r="M206">
        <v>198.58</v>
      </c>
    </row>
    <row r="207" spans="1:13" x14ac:dyDescent="0.25">
      <c r="A207">
        <v>10206</v>
      </c>
      <c r="B207" t="str">
        <f t="shared" si="6"/>
        <v>Dec</v>
      </c>
      <c r="C207">
        <f t="shared" si="7"/>
        <v>12</v>
      </c>
      <c r="D207" t="s">
        <v>370</v>
      </c>
      <c r="E207" t="s">
        <v>385</v>
      </c>
      <c r="F207" t="s">
        <v>26</v>
      </c>
      <c r="G207" t="s">
        <v>20</v>
      </c>
      <c r="H207" t="s">
        <v>21</v>
      </c>
      <c r="I207" t="s">
        <v>22</v>
      </c>
      <c r="J207" t="s">
        <v>48</v>
      </c>
      <c r="K207">
        <v>2</v>
      </c>
      <c r="L207" s="4">
        <v>594.39</v>
      </c>
      <c r="M207">
        <v>-25.07</v>
      </c>
    </row>
    <row r="208" spans="1:13" x14ac:dyDescent="0.25">
      <c r="A208">
        <v>10207</v>
      </c>
      <c r="B208" t="str">
        <f t="shared" si="6"/>
        <v>Mar</v>
      </c>
      <c r="C208">
        <f t="shared" si="7"/>
        <v>3</v>
      </c>
      <c r="D208" t="s">
        <v>49</v>
      </c>
      <c r="E208" t="s">
        <v>386</v>
      </c>
      <c r="F208" t="s">
        <v>31</v>
      </c>
      <c r="G208" t="s">
        <v>46</v>
      </c>
      <c r="H208" t="s">
        <v>71</v>
      </c>
      <c r="I208" t="s">
        <v>27</v>
      </c>
      <c r="J208" t="s">
        <v>77</v>
      </c>
      <c r="K208">
        <v>4</v>
      </c>
      <c r="L208" s="4">
        <v>2744.82</v>
      </c>
      <c r="M208">
        <v>577.29999999999995</v>
      </c>
    </row>
    <row r="209" spans="1:13" x14ac:dyDescent="0.25">
      <c r="A209">
        <v>10208</v>
      </c>
      <c r="B209" t="str">
        <f t="shared" si="6"/>
        <v>Apr</v>
      </c>
      <c r="C209">
        <f t="shared" si="7"/>
        <v>4</v>
      </c>
      <c r="D209" t="s">
        <v>290</v>
      </c>
      <c r="E209" t="s">
        <v>387</v>
      </c>
      <c r="F209" t="s">
        <v>31</v>
      </c>
      <c r="G209" t="s">
        <v>46</v>
      </c>
      <c r="H209" t="s">
        <v>47</v>
      </c>
      <c r="I209" t="s">
        <v>16</v>
      </c>
      <c r="J209" t="s">
        <v>17</v>
      </c>
      <c r="K209">
        <v>4</v>
      </c>
      <c r="L209" s="4">
        <v>1578.65</v>
      </c>
      <c r="M209">
        <v>69.45</v>
      </c>
    </row>
    <row r="210" spans="1:13" x14ac:dyDescent="0.25">
      <c r="A210">
        <v>10209</v>
      </c>
      <c r="B210" t="str">
        <f t="shared" si="6"/>
        <v>Nov</v>
      </c>
      <c r="C210">
        <f t="shared" si="7"/>
        <v>11</v>
      </c>
      <c r="D210" t="s">
        <v>388</v>
      </c>
      <c r="E210" t="s">
        <v>389</v>
      </c>
      <c r="F210" t="s">
        <v>31</v>
      </c>
      <c r="G210" t="s">
        <v>32</v>
      </c>
      <c r="H210" t="s">
        <v>33</v>
      </c>
      <c r="I210" t="s">
        <v>16</v>
      </c>
      <c r="J210" t="s">
        <v>43</v>
      </c>
      <c r="K210">
        <v>7</v>
      </c>
      <c r="L210" s="4">
        <v>2823.67</v>
      </c>
      <c r="M210">
        <v>139.84</v>
      </c>
    </row>
    <row r="211" spans="1:13" x14ac:dyDescent="0.25">
      <c r="A211">
        <v>10210</v>
      </c>
      <c r="B211" t="str">
        <f t="shared" si="6"/>
        <v>Apr</v>
      </c>
      <c r="C211">
        <f t="shared" si="7"/>
        <v>4</v>
      </c>
      <c r="D211" t="s">
        <v>225</v>
      </c>
      <c r="E211" t="s">
        <v>390</v>
      </c>
      <c r="F211" t="s">
        <v>13</v>
      </c>
      <c r="G211" t="s">
        <v>32</v>
      </c>
      <c r="H211" t="s">
        <v>54</v>
      </c>
      <c r="I211" t="s">
        <v>27</v>
      </c>
      <c r="J211" t="s">
        <v>104</v>
      </c>
      <c r="K211">
        <v>5</v>
      </c>
      <c r="L211" s="4">
        <v>1944.65</v>
      </c>
      <c r="M211">
        <v>416.65</v>
      </c>
    </row>
    <row r="212" spans="1:13" x14ac:dyDescent="0.25">
      <c r="A212">
        <v>10211</v>
      </c>
      <c r="B212" t="str">
        <f t="shared" si="6"/>
        <v>Apr</v>
      </c>
      <c r="C212">
        <f t="shared" si="7"/>
        <v>4</v>
      </c>
      <c r="D212" t="s">
        <v>391</v>
      </c>
      <c r="E212" t="s">
        <v>135</v>
      </c>
      <c r="F212" t="s">
        <v>13</v>
      </c>
      <c r="G212" t="s">
        <v>46</v>
      </c>
      <c r="H212" t="s">
        <v>47</v>
      </c>
      <c r="I212" t="s">
        <v>22</v>
      </c>
      <c r="J212" t="s">
        <v>34</v>
      </c>
      <c r="K212">
        <v>7</v>
      </c>
      <c r="L212" s="4">
        <v>2830.71</v>
      </c>
      <c r="M212">
        <v>212.14</v>
      </c>
    </row>
    <row r="213" spans="1:13" x14ac:dyDescent="0.25">
      <c r="A213">
        <v>10212</v>
      </c>
      <c r="B213" t="str">
        <f t="shared" si="6"/>
        <v>Jan</v>
      </c>
      <c r="C213">
        <f t="shared" si="7"/>
        <v>1</v>
      </c>
      <c r="D213" t="s">
        <v>102</v>
      </c>
      <c r="E213" t="s">
        <v>392</v>
      </c>
      <c r="F213" t="s">
        <v>26</v>
      </c>
      <c r="G213" t="s">
        <v>14</v>
      </c>
      <c r="H213" t="s">
        <v>37</v>
      </c>
      <c r="I213" t="s">
        <v>27</v>
      </c>
      <c r="J213" t="s">
        <v>118</v>
      </c>
      <c r="K213">
        <v>4</v>
      </c>
      <c r="L213" s="4">
        <v>352.53</v>
      </c>
      <c r="M213">
        <v>-9.6300000000000008</v>
      </c>
    </row>
    <row r="214" spans="1:13" x14ac:dyDescent="0.25">
      <c r="A214">
        <v>10213</v>
      </c>
      <c r="B214" t="str">
        <f t="shared" si="6"/>
        <v>Apr</v>
      </c>
      <c r="C214">
        <f t="shared" si="7"/>
        <v>4</v>
      </c>
      <c r="D214" t="s">
        <v>393</v>
      </c>
      <c r="E214" t="s">
        <v>394</v>
      </c>
      <c r="F214" t="s">
        <v>26</v>
      </c>
      <c r="G214" t="s">
        <v>46</v>
      </c>
      <c r="H214" t="s">
        <v>71</v>
      </c>
      <c r="I214" t="s">
        <v>27</v>
      </c>
      <c r="J214" t="s">
        <v>104</v>
      </c>
      <c r="K214">
        <v>6</v>
      </c>
      <c r="L214" s="4">
        <v>1585.62</v>
      </c>
      <c r="M214">
        <v>418.43</v>
      </c>
    </row>
    <row r="215" spans="1:13" x14ac:dyDescent="0.25">
      <c r="A215">
        <v>10214</v>
      </c>
      <c r="B215" t="str">
        <f t="shared" si="6"/>
        <v>Jul</v>
      </c>
      <c r="C215">
        <f t="shared" si="7"/>
        <v>7</v>
      </c>
      <c r="D215" t="s">
        <v>144</v>
      </c>
      <c r="E215" t="s">
        <v>395</v>
      </c>
      <c r="F215" t="s">
        <v>13</v>
      </c>
      <c r="G215" t="s">
        <v>20</v>
      </c>
      <c r="H215" t="s">
        <v>21</v>
      </c>
      <c r="I215" t="s">
        <v>16</v>
      </c>
      <c r="J215" t="s">
        <v>43</v>
      </c>
      <c r="K215">
        <v>7</v>
      </c>
      <c r="L215" s="4">
        <v>4584.12</v>
      </c>
      <c r="M215">
        <v>784.35</v>
      </c>
    </row>
    <row r="216" spans="1:13" x14ac:dyDescent="0.25">
      <c r="A216">
        <v>10215</v>
      </c>
      <c r="B216" t="str">
        <f t="shared" si="6"/>
        <v>Jun</v>
      </c>
      <c r="C216">
        <f t="shared" si="7"/>
        <v>6</v>
      </c>
      <c r="D216" t="s">
        <v>334</v>
      </c>
      <c r="E216" t="s">
        <v>350</v>
      </c>
      <c r="F216" t="s">
        <v>31</v>
      </c>
      <c r="G216" t="s">
        <v>32</v>
      </c>
      <c r="H216" t="s">
        <v>54</v>
      </c>
      <c r="I216" t="s">
        <v>27</v>
      </c>
      <c r="J216" t="s">
        <v>28</v>
      </c>
      <c r="K216">
        <v>8</v>
      </c>
      <c r="L216" s="4">
        <v>2383.42</v>
      </c>
      <c r="M216">
        <v>525.29</v>
      </c>
    </row>
    <row r="217" spans="1:13" x14ac:dyDescent="0.25">
      <c r="A217">
        <v>10216</v>
      </c>
      <c r="B217" t="str">
        <f t="shared" si="6"/>
        <v>Aug</v>
      </c>
      <c r="C217">
        <f t="shared" si="7"/>
        <v>8</v>
      </c>
      <c r="D217" t="s">
        <v>396</v>
      </c>
      <c r="E217" t="s">
        <v>397</v>
      </c>
      <c r="F217" t="s">
        <v>26</v>
      </c>
      <c r="G217" t="s">
        <v>32</v>
      </c>
      <c r="H217" t="s">
        <v>54</v>
      </c>
      <c r="I217" t="s">
        <v>22</v>
      </c>
      <c r="J217" t="s">
        <v>48</v>
      </c>
      <c r="K217">
        <v>3</v>
      </c>
      <c r="L217" s="4">
        <v>179.48</v>
      </c>
      <c r="M217">
        <v>-24.6</v>
      </c>
    </row>
    <row r="218" spans="1:13" x14ac:dyDescent="0.25">
      <c r="A218">
        <v>10217</v>
      </c>
      <c r="B218" t="str">
        <f t="shared" si="6"/>
        <v>May</v>
      </c>
      <c r="C218">
        <f t="shared" si="7"/>
        <v>5</v>
      </c>
      <c r="D218" t="s">
        <v>398</v>
      </c>
      <c r="E218" t="s">
        <v>175</v>
      </c>
      <c r="F218" t="s">
        <v>31</v>
      </c>
      <c r="G218" t="s">
        <v>46</v>
      </c>
      <c r="H218" t="s">
        <v>47</v>
      </c>
      <c r="I218" t="s">
        <v>22</v>
      </c>
      <c r="J218" t="s">
        <v>34</v>
      </c>
      <c r="K218">
        <v>4</v>
      </c>
      <c r="L218" s="4">
        <v>2546.58</v>
      </c>
      <c r="M218">
        <v>475.6</v>
      </c>
    </row>
    <row r="219" spans="1:13" x14ac:dyDescent="0.25">
      <c r="A219">
        <v>10218</v>
      </c>
      <c r="B219" t="str">
        <f t="shared" si="6"/>
        <v>Oct</v>
      </c>
      <c r="C219">
        <f t="shared" si="7"/>
        <v>10</v>
      </c>
      <c r="D219" t="s">
        <v>84</v>
      </c>
      <c r="E219" t="s">
        <v>399</v>
      </c>
      <c r="F219" t="s">
        <v>26</v>
      </c>
      <c r="G219" t="s">
        <v>20</v>
      </c>
      <c r="H219" t="s">
        <v>76</v>
      </c>
      <c r="I219" t="s">
        <v>22</v>
      </c>
      <c r="J219" t="s">
        <v>38</v>
      </c>
      <c r="K219">
        <v>3</v>
      </c>
      <c r="L219" s="4">
        <v>785.8</v>
      </c>
      <c r="M219">
        <v>128.25</v>
      </c>
    </row>
    <row r="220" spans="1:13" x14ac:dyDescent="0.25">
      <c r="A220">
        <v>10219</v>
      </c>
      <c r="B220" t="str">
        <f t="shared" si="6"/>
        <v>Dec</v>
      </c>
      <c r="C220">
        <f t="shared" si="7"/>
        <v>12</v>
      </c>
      <c r="D220" t="s">
        <v>400</v>
      </c>
      <c r="E220" t="s">
        <v>401</v>
      </c>
      <c r="F220" t="s">
        <v>26</v>
      </c>
      <c r="G220" t="s">
        <v>14</v>
      </c>
      <c r="H220" t="s">
        <v>15</v>
      </c>
      <c r="I220" t="s">
        <v>16</v>
      </c>
      <c r="J220" t="s">
        <v>81</v>
      </c>
      <c r="K220">
        <v>1</v>
      </c>
      <c r="L220" s="4">
        <v>2120.7199999999998</v>
      </c>
      <c r="M220">
        <v>529.59</v>
      </c>
    </row>
    <row r="221" spans="1:13" x14ac:dyDescent="0.25">
      <c r="A221">
        <v>10220</v>
      </c>
      <c r="B221" t="str">
        <f t="shared" si="6"/>
        <v>Jul</v>
      </c>
      <c r="C221">
        <f t="shared" si="7"/>
        <v>7</v>
      </c>
      <c r="D221" t="s">
        <v>187</v>
      </c>
      <c r="E221" t="s">
        <v>402</v>
      </c>
      <c r="F221" t="s">
        <v>26</v>
      </c>
      <c r="G221" t="s">
        <v>46</v>
      </c>
      <c r="H221" t="s">
        <v>47</v>
      </c>
      <c r="I221" t="s">
        <v>27</v>
      </c>
      <c r="J221" t="s">
        <v>118</v>
      </c>
      <c r="K221">
        <v>8</v>
      </c>
      <c r="L221" s="4">
        <v>3330.49</v>
      </c>
      <c r="M221">
        <v>126.4</v>
      </c>
    </row>
    <row r="222" spans="1:13" x14ac:dyDescent="0.25">
      <c r="A222">
        <v>10221</v>
      </c>
      <c r="B222" t="str">
        <f t="shared" si="6"/>
        <v>Apr</v>
      </c>
      <c r="C222">
        <f t="shared" si="7"/>
        <v>4</v>
      </c>
      <c r="D222" t="s">
        <v>403</v>
      </c>
      <c r="E222" t="s">
        <v>404</v>
      </c>
      <c r="F222" t="s">
        <v>13</v>
      </c>
      <c r="G222" t="s">
        <v>32</v>
      </c>
      <c r="H222" t="s">
        <v>54</v>
      </c>
      <c r="I222" t="s">
        <v>22</v>
      </c>
      <c r="J222" t="s">
        <v>34</v>
      </c>
      <c r="K222">
        <v>3</v>
      </c>
      <c r="L222" s="4">
        <v>624.38</v>
      </c>
      <c r="M222">
        <v>31.36</v>
      </c>
    </row>
    <row r="223" spans="1:13" x14ac:dyDescent="0.25">
      <c r="A223">
        <v>10222</v>
      </c>
      <c r="B223" t="str">
        <f t="shared" si="6"/>
        <v>Dec</v>
      </c>
      <c r="C223">
        <f t="shared" si="7"/>
        <v>12</v>
      </c>
      <c r="D223" t="s">
        <v>151</v>
      </c>
      <c r="E223" t="s">
        <v>252</v>
      </c>
      <c r="F223" t="s">
        <v>31</v>
      </c>
      <c r="G223" t="s">
        <v>32</v>
      </c>
      <c r="H223" t="s">
        <v>54</v>
      </c>
      <c r="I223" t="s">
        <v>27</v>
      </c>
      <c r="J223" t="s">
        <v>77</v>
      </c>
      <c r="K223">
        <v>2</v>
      </c>
      <c r="L223" s="4">
        <v>1927.95</v>
      </c>
      <c r="M223">
        <v>235.6</v>
      </c>
    </row>
    <row r="224" spans="1:13" x14ac:dyDescent="0.25">
      <c r="A224">
        <v>10223</v>
      </c>
      <c r="B224" t="str">
        <f t="shared" si="6"/>
        <v>Dec</v>
      </c>
      <c r="C224">
        <f t="shared" si="7"/>
        <v>12</v>
      </c>
      <c r="D224" t="s">
        <v>405</v>
      </c>
      <c r="E224" t="s">
        <v>406</v>
      </c>
      <c r="F224" t="s">
        <v>26</v>
      </c>
      <c r="G224" t="s">
        <v>14</v>
      </c>
      <c r="H224" t="s">
        <v>15</v>
      </c>
      <c r="I224" t="s">
        <v>22</v>
      </c>
      <c r="J224" t="s">
        <v>34</v>
      </c>
      <c r="K224">
        <v>7</v>
      </c>
      <c r="L224" s="4">
        <v>1948.13</v>
      </c>
      <c r="M224">
        <v>265.56</v>
      </c>
    </row>
    <row r="225" spans="1:13" x14ac:dyDescent="0.25">
      <c r="A225">
        <v>10224</v>
      </c>
      <c r="B225" t="str">
        <f t="shared" si="6"/>
        <v>Dec</v>
      </c>
      <c r="C225">
        <f t="shared" si="7"/>
        <v>12</v>
      </c>
      <c r="D225" t="s">
        <v>407</v>
      </c>
      <c r="E225" t="s">
        <v>408</v>
      </c>
      <c r="F225" t="s">
        <v>31</v>
      </c>
      <c r="G225" t="s">
        <v>20</v>
      </c>
      <c r="H225" t="s">
        <v>76</v>
      </c>
      <c r="I225" t="s">
        <v>16</v>
      </c>
      <c r="J225" t="s">
        <v>17</v>
      </c>
      <c r="K225">
        <v>2</v>
      </c>
      <c r="L225" s="4">
        <v>4484.4799999999996</v>
      </c>
      <c r="M225">
        <v>1231.73</v>
      </c>
    </row>
    <row r="226" spans="1:13" x14ac:dyDescent="0.25">
      <c r="A226">
        <v>10225</v>
      </c>
      <c r="B226" t="str">
        <f t="shared" si="6"/>
        <v>Apr</v>
      </c>
      <c r="C226">
        <f t="shared" si="7"/>
        <v>4</v>
      </c>
      <c r="D226" t="s">
        <v>409</v>
      </c>
      <c r="E226" t="s">
        <v>184</v>
      </c>
      <c r="F226" t="s">
        <v>26</v>
      </c>
      <c r="G226" t="s">
        <v>32</v>
      </c>
      <c r="H226" t="s">
        <v>33</v>
      </c>
      <c r="I226" t="s">
        <v>22</v>
      </c>
      <c r="J226" t="s">
        <v>38</v>
      </c>
      <c r="K226">
        <v>1</v>
      </c>
      <c r="L226" s="4">
        <v>978.84</v>
      </c>
      <c r="M226">
        <v>255.48</v>
      </c>
    </row>
    <row r="227" spans="1:13" x14ac:dyDescent="0.25">
      <c r="A227">
        <v>10226</v>
      </c>
      <c r="B227" t="str">
        <f t="shared" si="6"/>
        <v>Oct</v>
      </c>
      <c r="C227">
        <f t="shared" si="7"/>
        <v>10</v>
      </c>
      <c r="D227" t="s">
        <v>410</v>
      </c>
      <c r="E227" t="s">
        <v>111</v>
      </c>
      <c r="F227" t="s">
        <v>31</v>
      </c>
      <c r="G227" t="s">
        <v>20</v>
      </c>
      <c r="H227" t="s">
        <v>21</v>
      </c>
      <c r="I227" t="s">
        <v>27</v>
      </c>
      <c r="J227" t="s">
        <v>104</v>
      </c>
      <c r="K227">
        <v>4</v>
      </c>
      <c r="L227" s="4">
        <v>2876.81</v>
      </c>
      <c r="M227">
        <v>687.06</v>
      </c>
    </row>
    <row r="228" spans="1:13" x14ac:dyDescent="0.25">
      <c r="A228">
        <v>10227</v>
      </c>
      <c r="B228" t="str">
        <f t="shared" si="6"/>
        <v>Nov</v>
      </c>
      <c r="C228">
        <f t="shared" si="7"/>
        <v>11</v>
      </c>
      <c r="D228" t="s">
        <v>411</v>
      </c>
      <c r="E228" t="s">
        <v>412</v>
      </c>
      <c r="F228" t="s">
        <v>13</v>
      </c>
      <c r="G228" t="s">
        <v>46</v>
      </c>
      <c r="H228" t="s">
        <v>71</v>
      </c>
      <c r="I228" t="s">
        <v>16</v>
      </c>
      <c r="J228" t="s">
        <v>17</v>
      </c>
      <c r="K228">
        <v>1</v>
      </c>
      <c r="L228" s="4">
        <v>578.66</v>
      </c>
      <c r="M228">
        <v>54.91</v>
      </c>
    </row>
    <row r="229" spans="1:13" x14ac:dyDescent="0.25">
      <c r="A229">
        <v>10228</v>
      </c>
      <c r="B229" t="str">
        <f t="shared" si="6"/>
        <v>Aug</v>
      </c>
      <c r="C229">
        <f t="shared" si="7"/>
        <v>8</v>
      </c>
      <c r="D229" t="s">
        <v>413</v>
      </c>
      <c r="E229" t="s">
        <v>414</v>
      </c>
      <c r="F229" t="s">
        <v>13</v>
      </c>
      <c r="G229" t="s">
        <v>20</v>
      </c>
      <c r="H229" t="s">
        <v>76</v>
      </c>
      <c r="I229" t="s">
        <v>22</v>
      </c>
      <c r="J229" t="s">
        <v>38</v>
      </c>
      <c r="K229">
        <v>8</v>
      </c>
      <c r="L229" s="4">
        <v>2503.96</v>
      </c>
      <c r="M229">
        <v>253.82</v>
      </c>
    </row>
    <row r="230" spans="1:13" x14ac:dyDescent="0.25">
      <c r="A230">
        <v>10229</v>
      </c>
      <c r="B230" t="str">
        <f t="shared" si="6"/>
        <v>Dec</v>
      </c>
      <c r="C230">
        <f t="shared" si="7"/>
        <v>12</v>
      </c>
      <c r="D230" t="s">
        <v>415</v>
      </c>
      <c r="E230" t="s">
        <v>416</v>
      </c>
      <c r="F230" t="s">
        <v>13</v>
      </c>
      <c r="G230" t="s">
        <v>20</v>
      </c>
      <c r="H230" t="s">
        <v>21</v>
      </c>
      <c r="I230" t="s">
        <v>16</v>
      </c>
      <c r="J230" t="s">
        <v>17</v>
      </c>
      <c r="K230">
        <v>4</v>
      </c>
      <c r="L230" s="4">
        <v>3594.23</v>
      </c>
      <c r="M230">
        <v>238.01</v>
      </c>
    </row>
    <row r="231" spans="1:13" x14ac:dyDescent="0.25">
      <c r="A231">
        <v>10230</v>
      </c>
      <c r="B231" t="str">
        <f t="shared" si="6"/>
        <v>May</v>
      </c>
      <c r="C231">
        <f t="shared" si="7"/>
        <v>5</v>
      </c>
      <c r="D231" t="s">
        <v>154</v>
      </c>
      <c r="E231" t="s">
        <v>417</v>
      </c>
      <c r="F231" t="s">
        <v>26</v>
      </c>
      <c r="G231" t="s">
        <v>46</v>
      </c>
      <c r="H231" t="s">
        <v>47</v>
      </c>
      <c r="I231" t="s">
        <v>27</v>
      </c>
      <c r="J231" t="s">
        <v>28</v>
      </c>
      <c r="K231">
        <v>2</v>
      </c>
      <c r="L231" s="4">
        <v>548.45000000000005</v>
      </c>
      <c r="M231">
        <v>112.24</v>
      </c>
    </row>
    <row r="232" spans="1:13" x14ac:dyDescent="0.25">
      <c r="A232">
        <v>10231</v>
      </c>
      <c r="B232" t="str">
        <f t="shared" si="6"/>
        <v>Nov</v>
      </c>
      <c r="C232">
        <f t="shared" si="7"/>
        <v>11</v>
      </c>
      <c r="D232" t="s">
        <v>418</v>
      </c>
      <c r="E232" t="s">
        <v>419</v>
      </c>
      <c r="F232" t="s">
        <v>31</v>
      </c>
      <c r="G232" t="s">
        <v>14</v>
      </c>
      <c r="H232" t="s">
        <v>15</v>
      </c>
      <c r="I232" t="s">
        <v>27</v>
      </c>
      <c r="J232" t="s">
        <v>77</v>
      </c>
      <c r="K232">
        <v>7</v>
      </c>
      <c r="L232" s="4">
        <v>606.14</v>
      </c>
      <c r="M232">
        <v>-11.53</v>
      </c>
    </row>
    <row r="233" spans="1:13" x14ac:dyDescent="0.25">
      <c r="A233">
        <v>10232</v>
      </c>
      <c r="B233" t="str">
        <f t="shared" si="6"/>
        <v>May</v>
      </c>
      <c r="C233">
        <f t="shared" si="7"/>
        <v>5</v>
      </c>
      <c r="D233" t="s">
        <v>357</v>
      </c>
      <c r="E233" t="s">
        <v>420</v>
      </c>
      <c r="F233" t="s">
        <v>13</v>
      </c>
      <c r="G233" t="s">
        <v>20</v>
      </c>
      <c r="H233" t="s">
        <v>21</v>
      </c>
      <c r="I233" t="s">
        <v>27</v>
      </c>
      <c r="J233" t="s">
        <v>77</v>
      </c>
      <c r="K233">
        <v>7</v>
      </c>
      <c r="L233" s="4">
        <v>3917.93</v>
      </c>
      <c r="M233">
        <v>849.91</v>
      </c>
    </row>
    <row r="234" spans="1:13" x14ac:dyDescent="0.25">
      <c r="A234">
        <v>10233</v>
      </c>
      <c r="B234" t="str">
        <f t="shared" si="6"/>
        <v>Aug</v>
      </c>
      <c r="C234">
        <f t="shared" si="7"/>
        <v>8</v>
      </c>
      <c r="D234" t="s">
        <v>421</v>
      </c>
      <c r="E234" t="s">
        <v>422</v>
      </c>
      <c r="F234" t="s">
        <v>31</v>
      </c>
      <c r="G234" t="s">
        <v>46</v>
      </c>
      <c r="H234" t="s">
        <v>47</v>
      </c>
      <c r="I234" t="s">
        <v>22</v>
      </c>
      <c r="J234" t="s">
        <v>48</v>
      </c>
      <c r="K234">
        <v>5</v>
      </c>
      <c r="L234" s="4">
        <v>1575.54</v>
      </c>
      <c r="M234">
        <v>266.68</v>
      </c>
    </row>
    <row r="235" spans="1:13" x14ac:dyDescent="0.25">
      <c r="A235">
        <v>10234</v>
      </c>
      <c r="B235" t="str">
        <f t="shared" si="6"/>
        <v>Nov</v>
      </c>
      <c r="C235">
        <f t="shared" si="7"/>
        <v>11</v>
      </c>
      <c r="D235" t="s">
        <v>336</v>
      </c>
      <c r="E235" t="s">
        <v>423</v>
      </c>
      <c r="F235" t="s">
        <v>31</v>
      </c>
      <c r="G235" t="s">
        <v>32</v>
      </c>
      <c r="H235" t="s">
        <v>54</v>
      </c>
      <c r="I235" t="s">
        <v>22</v>
      </c>
      <c r="J235" t="s">
        <v>38</v>
      </c>
      <c r="K235">
        <v>5</v>
      </c>
      <c r="L235" s="4">
        <v>4726.6899999999996</v>
      </c>
      <c r="M235">
        <v>1038.6199999999999</v>
      </c>
    </row>
    <row r="236" spans="1:13" x14ac:dyDescent="0.25">
      <c r="A236">
        <v>10235</v>
      </c>
      <c r="B236" t="str">
        <f t="shared" si="6"/>
        <v>Jun</v>
      </c>
      <c r="C236">
        <f t="shared" si="7"/>
        <v>6</v>
      </c>
      <c r="D236" t="s">
        <v>248</v>
      </c>
      <c r="E236" t="s">
        <v>424</v>
      </c>
      <c r="F236" t="s">
        <v>31</v>
      </c>
      <c r="G236" t="s">
        <v>14</v>
      </c>
      <c r="H236" t="s">
        <v>15</v>
      </c>
      <c r="I236" t="s">
        <v>27</v>
      </c>
      <c r="J236" t="s">
        <v>118</v>
      </c>
      <c r="K236">
        <v>7</v>
      </c>
      <c r="L236" s="4">
        <v>1727.86</v>
      </c>
      <c r="M236">
        <v>273.89</v>
      </c>
    </row>
    <row r="237" spans="1:13" x14ac:dyDescent="0.25">
      <c r="A237">
        <v>10236</v>
      </c>
      <c r="B237" t="str">
        <f t="shared" si="6"/>
        <v>Jun</v>
      </c>
      <c r="C237">
        <f t="shared" si="7"/>
        <v>6</v>
      </c>
      <c r="D237" t="s">
        <v>334</v>
      </c>
      <c r="E237" t="s">
        <v>425</v>
      </c>
      <c r="F237" t="s">
        <v>13</v>
      </c>
      <c r="G237" t="s">
        <v>20</v>
      </c>
      <c r="H237" t="s">
        <v>21</v>
      </c>
      <c r="I237" t="s">
        <v>27</v>
      </c>
      <c r="J237" t="s">
        <v>28</v>
      </c>
      <c r="K237">
        <v>4</v>
      </c>
      <c r="L237" s="4">
        <v>2447.15</v>
      </c>
      <c r="M237">
        <v>191.21</v>
      </c>
    </row>
    <row r="238" spans="1:13" x14ac:dyDescent="0.25">
      <c r="A238">
        <v>10237</v>
      </c>
      <c r="B238" t="str">
        <f t="shared" si="6"/>
        <v>Oct</v>
      </c>
      <c r="C238">
        <f t="shared" si="7"/>
        <v>10</v>
      </c>
      <c r="D238" t="s">
        <v>426</v>
      </c>
      <c r="E238" t="s">
        <v>427</v>
      </c>
      <c r="F238" t="s">
        <v>13</v>
      </c>
      <c r="G238" t="s">
        <v>20</v>
      </c>
      <c r="H238" t="s">
        <v>21</v>
      </c>
      <c r="I238" t="s">
        <v>27</v>
      </c>
      <c r="J238" t="s">
        <v>77</v>
      </c>
      <c r="K238">
        <v>5</v>
      </c>
      <c r="L238" s="4">
        <v>4100.82</v>
      </c>
      <c r="M238">
        <v>596.49</v>
      </c>
    </row>
    <row r="239" spans="1:13" x14ac:dyDescent="0.25">
      <c r="A239">
        <v>10238</v>
      </c>
      <c r="B239" t="str">
        <f t="shared" si="6"/>
        <v>Jul</v>
      </c>
      <c r="C239">
        <f t="shared" si="7"/>
        <v>7</v>
      </c>
      <c r="D239" t="s">
        <v>176</v>
      </c>
      <c r="E239" t="s">
        <v>428</v>
      </c>
      <c r="F239" t="s">
        <v>31</v>
      </c>
      <c r="G239" t="s">
        <v>46</v>
      </c>
      <c r="H239" t="s">
        <v>71</v>
      </c>
      <c r="I239" t="s">
        <v>16</v>
      </c>
      <c r="J239" t="s">
        <v>51</v>
      </c>
      <c r="K239">
        <v>4</v>
      </c>
      <c r="L239" s="4">
        <v>2248.4299999999998</v>
      </c>
      <c r="M239">
        <v>206.9</v>
      </c>
    </row>
    <row r="240" spans="1:13" x14ac:dyDescent="0.25">
      <c r="A240">
        <v>10239</v>
      </c>
      <c r="B240" t="str">
        <f t="shared" si="6"/>
        <v>Nov</v>
      </c>
      <c r="C240">
        <f t="shared" si="7"/>
        <v>11</v>
      </c>
      <c r="D240" t="s">
        <v>429</v>
      </c>
      <c r="E240" t="s">
        <v>430</v>
      </c>
      <c r="F240" t="s">
        <v>13</v>
      </c>
      <c r="G240" t="s">
        <v>46</v>
      </c>
      <c r="H240" t="s">
        <v>47</v>
      </c>
      <c r="I240" t="s">
        <v>22</v>
      </c>
      <c r="J240" t="s">
        <v>38</v>
      </c>
      <c r="K240">
        <v>3</v>
      </c>
      <c r="L240" s="4">
        <v>3604.66</v>
      </c>
      <c r="M240">
        <v>883.92</v>
      </c>
    </row>
    <row r="241" spans="1:13" x14ac:dyDescent="0.25">
      <c r="A241">
        <v>10240</v>
      </c>
      <c r="B241" t="str">
        <f t="shared" si="6"/>
        <v>Feb</v>
      </c>
      <c r="C241">
        <f t="shared" si="7"/>
        <v>2</v>
      </c>
      <c r="D241" t="s">
        <v>431</v>
      </c>
      <c r="E241" t="s">
        <v>432</v>
      </c>
      <c r="F241" t="s">
        <v>26</v>
      </c>
      <c r="G241" t="s">
        <v>20</v>
      </c>
      <c r="H241" t="s">
        <v>76</v>
      </c>
      <c r="I241" t="s">
        <v>16</v>
      </c>
      <c r="J241" t="s">
        <v>81</v>
      </c>
      <c r="K241">
        <v>6</v>
      </c>
      <c r="L241" s="4">
        <v>3538.01</v>
      </c>
      <c r="M241">
        <v>836</v>
      </c>
    </row>
    <row r="242" spans="1:13" x14ac:dyDescent="0.25">
      <c r="A242">
        <v>10241</v>
      </c>
      <c r="B242" t="str">
        <f t="shared" si="6"/>
        <v>Feb</v>
      </c>
      <c r="C242">
        <f t="shared" si="7"/>
        <v>2</v>
      </c>
      <c r="D242" t="s">
        <v>433</v>
      </c>
      <c r="E242" t="s">
        <v>434</v>
      </c>
      <c r="F242" t="s">
        <v>26</v>
      </c>
      <c r="G242" t="s">
        <v>32</v>
      </c>
      <c r="H242" t="s">
        <v>33</v>
      </c>
      <c r="I242" t="s">
        <v>16</v>
      </c>
      <c r="J242" t="s">
        <v>81</v>
      </c>
      <c r="K242">
        <v>7</v>
      </c>
      <c r="L242" s="4">
        <v>4837.37</v>
      </c>
      <c r="M242">
        <v>563.26</v>
      </c>
    </row>
    <row r="243" spans="1:13" x14ac:dyDescent="0.25">
      <c r="A243">
        <v>10242</v>
      </c>
      <c r="B243" t="str">
        <f t="shared" si="6"/>
        <v>Dec</v>
      </c>
      <c r="C243">
        <f t="shared" si="7"/>
        <v>12</v>
      </c>
      <c r="D243" t="s">
        <v>232</v>
      </c>
      <c r="E243" t="s">
        <v>58</v>
      </c>
      <c r="F243" t="s">
        <v>26</v>
      </c>
      <c r="G243" t="s">
        <v>32</v>
      </c>
      <c r="H243" t="s">
        <v>33</v>
      </c>
      <c r="I243" t="s">
        <v>16</v>
      </c>
      <c r="J243" t="s">
        <v>43</v>
      </c>
      <c r="K243">
        <v>8</v>
      </c>
      <c r="L243" s="4">
        <v>1933.19</v>
      </c>
      <c r="M243">
        <v>252.5</v>
      </c>
    </row>
    <row r="244" spans="1:13" x14ac:dyDescent="0.25">
      <c r="A244">
        <v>10243</v>
      </c>
      <c r="B244" t="str">
        <f t="shared" si="6"/>
        <v>Mar</v>
      </c>
      <c r="C244">
        <f t="shared" si="7"/>
        <v>3</v>
      </c>
      <c r="D244" t="s">
        <v>435</v>
      </c>
      <c r="E244" t="s">
        <v>436</v>
      </c>
      <c r="F244" t="s">
        <v>31</v>
      </c>
      <c r="G244" t="s">
        <v>32</v>
      </c>
      <c r="H244" t="s">
        <v>33</v>
      </c>
      <c r="I244" t="s">
        <v>27</v>
      </c>
      <c r="J244" t="s">
        <v>118</v>
      </c>
      <c r="K244">
        <v>5</v>
      </c>
      <c r="L244" s="4">
        <v>2138.2800000000002</v>
      </c>
      <c r="M244">
        <v>609.41999999999996</v>
      </c>
    </row>
    <row r="245" spans="1:13" x14ac:dyDescent="0.25">
      <c r="A245">
        <v>10244</v>
      </c>
      <c r="B245" t="str">
        <f t="shared" si="6"/>
        <v>Jun</v>
      </c>
      <c r="C245">
        <f t="shared" si="7"/>
        <v>6</v>
      </c>
      <c r="D245" t="s">
        <v>334</v>
      </c>
      <c r="E245" t="s">
        <v>437</v>
      </c>
      <c r="F245" t="s">
        <v>31</v>
      </c>
      <c r="G245" t="s">
        <v>32</v>
      </c>
      <c r="H245" t="s">
        <v>54</v>
      </c>
      <c r="I245" t="s">
        <v>22</v>
      </c>
      <c r="J245" t="s">
        <v>34</v>
      </c>
      <c r="K245">
        <v>6</v>
      </c>
      <c r="L245" s="4">
        <v>2433.1999999999998</v>
      </c>
      <c r="M245">
        <v>318.52</v>
      </c>
    </row>
    <row r="246" spans="1:13" x14ac:dyDescent="0.25">
      <c r="A246">
        <v>10245</v>
      </c>
      <c r="B246" t="str">
        <f t="shared" si="6"/>
        <v>May</v>
      </c>
      <c r="C246">
        <f t="shared" si="7"/>
        <v>5</v>
      </c>
      <c r="D246" t="s">
        <v>357</v>
      </c>
      <c r="E246" t="s">
        <v>438</v>
      </c>
      <c r="F246" t="s">
        <v>26</v>
      </c>
      <c r="G246" t="s">
        <v>14</v>
      </c>
      <c r="H246" t="s">
        <v>15</v>
      </c>
      <c r="I246" t="s">
        <v>22</v>
      </c>
      <c r="J246" t="s">
        <v>38</v>
      </c>
      <c r="K246">
        <v>2</v>
      </c>
      <c r="L246" s="4">
        <v>3417.98</v>
      </c>
      <c r="M246">
        <v>212.95</v>
      </c>
    </row>
    <row r="247" spans="1:13" x14ac:dyDescent="0.25">
      <c r="A247">
        <v>10246</v>
      </c>
      <c r="B247" t="str">
        <f t="shared" si="6"/>
        <v>Nov</v>
      </c>
      <c r="C247">
        <f t="shared" si="7"/>
        <v>11</v>
      </c>
      <c r="D247" t="s">
        <v>41</v>
      </c>
      <c r="E247" t="s">
        <v>439</v>
      </c>
      <c r="F247" t="s">
        <v>31</v>
      </c>
      <c r="G247" t="s">
        <v>46</v>
      </c>
      <c r="H247" t="s">
        <v>47</v>
      </c>
      <c r="I247" t="s">
        <v>16</v>
      </c>
      <c r="J247" t="s">
        <v>51</v>
      </c>
      <c r="K247">
        <v>8</v>
      </c>
      <c r="L247" s="4">
        <v>1236.0899999999999</v>
      </c>
      <c r="M247">
        <v>168.53</v>
      </c>
    </row>
    <row r="248" spans="1:13" x14ac:dyDescent="0.25">
      <c r="A248">
        <v>10247</v>
      </c>
      <c r="B248" t="str">
        <f t="shared" si="6"/>
        <v>Apr</v>
      </c>
      <c r="C248">
        <f t="shared" si="7"/>
        <v>4</v>
      </c>
      <c r="D248" t="s">
        <v>440</v>
      </c>
      <c r="E248" t="s">
        <v>441</v>
      </c>
      <c r="F248" t="s">
        <v>13</v>
      </c>
      <c r="G248" t="s">
        <v>20</v>
      </c>
      <c r="H248" t="s">
        <v>21</v>
      </c>
      <c r="I248" t="s">
        <v>16</v>
      </c>
      <c r="J248" t="s">
        <v>43</v>
      </c>
      <c r="K248">
        <v>8</v>
      </c>
      <c r="L248" s="4">
        <v>3001.8</v>
      </c>
      <c r="M248">
        <v>371.42</v>
      </c>
    </row>
    <row r="249" spans="1:13" x14ac:dyDescent="0.25">
      <c r="A249">
        <v>10248</v>
      </c>
      <c r="B249" t="str">
        <f t="shared" si="6"/>
        <v>Sep</v>
      </c>
      <c r="C249">
        <f t="shared" si="7"/>
        <v>9</v>
      </c>
      <c r="D249" t="s">
        <v>442</v>
      </c>
      <c r="E249" t="s">
        <v>295</v>
      </c>
      <c r="F249" t="s">
        <v>13</v>
      </c>
      <c r="G249" t="s">
        <v>14</v>
      </c>
      <c r="H249" t="s">
        <v>15</v>
      </c>
      <c r="I249" t="s">
        <v>16</v>
      </c>
      <c r="J249" t="s">
        <v>43</v>
      </c>
      <c r="K249">
        <v>6</v>
      </c>
      <c r="L249" s="4">
        <v>1697.33</v>
      </c>
      <c r="M249">
        <v>252.78</v>
      </c>
    </row>
    <row r="250" spans="1:13" x14ac:dyDescent="0.25">
      <c r="A250">
        <v>10249</v>
      </c>
      <c r="B250" t="str">
        <f t="shared" si="6"/>
        <v>Dec</v>
      </c>
      <c r="C250">
        <f t="shared" si="7"/>
        <v>12</v>
      </c>
      <c r="D250" t="s">
        <v>227</v>
      </c>
      <c r="E250" t="s">
        <v>204</v>
      </c>
      <c r="F250" t="s">
        <v>31</v>
      </c>
      <c r="G250" t="s">
        <v>32</v>
      </c>
      <c r="H250" t="s">
        <v>54</v>
      </c>
      <c r="I250" t="s">
        <v>16</v>
      </c>
      <c r="J250" t="s">
        <v>51</v>
      </c>
      <c r="K250">
        <v>2</v>
      </c>
      <c r="L250" s="4">
        <v>1804.83</v>
      </c>
      <c r="M250">
        <v>410.01</v>
      </c>
    </row>
    <row r="251" spans="1:13" x14ac:dyDescent="0.25">
      <c r="A251">
        <v>10250</v>
      </c>
      <c r="B251" t="str">
        <f t="shared" si="6"/>
        <v>Sep</v>
      </c>
      <c r="C251">
        <f t="shared" si="7"/>
        <v>9</v>
      </c>
      <c r="D251" t="s">
        <v>443</v>
      </c>
      <c r="E251" t="s">
        <v>444</v>
      </c>
      <c r="F251" t="s">
        <v>31</v>
      </c>
      <c r="G251" t="s">
        <v>14</v>
      </c>
      <c r="H251" t="s">
        <v>15</v>
      </c>
      <c r="I251" t="s">
        <v>27</v>
      </c>
      <c r="J251" t="s">
        <v>118</v>
      </c>
      <c r="K251">
        <v>4</v>
      </c>
      <c r="L251" s="4">
        <v>1596.36</v>
      </c>
      <c r="M251">
        <v>83.53</v>
      </c>
    </row>
    <row r="252" spans="1:13" x14ac:dyDescent="0.25">
      <c r="A252">
        <v>10251</v>
      </c>
      <c r="B252" t="str">
        <f t="shared" si="6"/>
        <v>Mar</v>
      </c>
      <c r="C252">
        <f t="shared" si="7"/>
        <v>3</v>
      </c>
      <c r="D252" t="s">
        <v>317</v>
      </c>
      <c r="E252" t="s">
        <v>445</v>
      </c>
      <c r="F252" t="s">
        <v>26</v>
      </c>
      <c r="G252" t="s">
        <v>46</v>
      </c>
      <c r="H252" t="s">
        <v>47</v>
      </c>
      <c r="I252" t="s">
        <v>27</v>
      </c>
      <c r="J252" t="s">
        <v>104</v>
      </c>
      <c r="K252">
        <v>8</v>
      </c>
      <c r="L252" s="4">
        <v>3213.96</v>
      </c>
      <c r="M252">
        <v>653.34</v>
      </c>
    </row>
    <row r="253" spans="1:13" x14ac:dyDescent="0.25">
      <c r="A253">
        <v>10252</v>
      </c>
      <c r="B253" t="str">
        <f t="shared" si="6"/>
        <v>Jan</v>
      </c>
      <c r="C253">
        <f t="shared" si="7"/>
        <v>1</v>
      </c>
      <c r="D253" t="s">
        <v>446</v>
      </c>
      <c r="E253" t="s">
        <v>447</v>
      </c>
      <c r="F253" t="s">
        <v>26</v>
      </c>
      <c r="G253" t="s">
        <v>20</v>
      </c>
      <c r="H253" t="s">
        <v>76</v>
      </c>
      <c r="I253" t="s">
        <v>22</v>
      </c>
      <c r="J253" t="s">
        <v>48</v>
      </c>
      <c r="K253">
        <v>6</v>
      </c>
      <c r="L253" s="4">
        <v>4225.7299999999996</v>
      </c>
      <c r="M253">
        <v>779.1</v>
      </c>
    </row>
    <row r="254" spans="1:13" x14ac:dyDescent="0.25">
      <c r="A254">
        <v>10253</v>
      </c>
      <c r="B254" t="str">
        <f t="shared" si="6"/>
        <v>Sep</v>
      </c>
      <c r="C254">
        <f t="shared" si="7"/>
        <v>9</v>
      </c>
      <c r="D254" t="s">
        <v>442</v>
      </c>
      <c r="E254" t="s">
        <v>448</v>
      </c>
      <c r="F254" t="s">
        <v>26</v>
      </c>
      <c r="G254" t="s">
        <v>46</v>
      </c>
      <c r="H254" t="s">
        <v>47</v>
      </c>
      <c r="I254" t="s">
        <v>16</v>
      </c>
      <c r="J254" t="s">
        <v>51</v>
      </c>
      <c r="K254">
        <v>7</v>
      </c>
      <c r="L254" s="4">
        <v>3455.01</v>
      </c>
      <c r="M254">
        <v>447.76</v>
      </c>
    </row>
    <row r="255" spans="1:13" x14ac:dyDescent="0.25">
      <c r="A255">
        <v>10254</v>
      </c>
      <c r="B255" t="str">
        <f t="shared" si="6"/>
        <v>Oct</v>
      </c>
      <c r="C255">
        <f t="shared" si="7"/>
        <v>10</v>
      </c>
      <c r="D255" t="s">
        <v>449</v>
      </c>
      <c r="E255" t="s">
        <v>450</v>
      </c>
      <c r="F255" t="s">
        <v>31</v>
      </c>
      <c r="G255" t="s">
        <v>14</v>
      </c>
      <c r="H255" t="s">
        <v>15</v>
      </c>
      <c r="I255" t="s">
        <v>27</v>
      </c>
      <c r="J255" t="s">
        <v>118</v>
      </c>
      <c r="K255">
        <v>5</v>
      </c>
      <c r="L255" s="4">
        <v>1201.73</v>
      </c>
      <c r="M255">
        <v>68.739999999999995</v>
      </c>
    </row>
    <row r="256" spans="1:13" x14ac:dyDescent="0.25">
      <c r="A256">
        <v>10255</v>
      </c>
      <c r="B256" t="str">
        <f t="shared" si="6"/>
        <v>Aug</v>
      </c>
      <c r="C256">
        <f t="shared" si="7"/>
        <v>8</v>
      </c>
      <c r="D256" t="s">
        <v>451</v>
      </c>
      <c r="E256" t="s">
        <v>417</v>
      </c>
      <c r="F256" t="s">
        <v>13</v>
      </c>
      <c r="G256" t="s">
        <v>14</v>
      </c>
      <c r="H256" t="s">
        <v>15</v>
      </c>
      <c r="I256" t="s">
        <v>27</v>
      </c>
      <c r="J256" t="s">
        <v>28</v>
      </c>
      <c r="K256">
        <v>1</v>
      </c>
      <c r="L256" s="4">
        <v>3824.02</v>
      </c>
      <c r="M256">
        <v>591.29999999999995</v>
      </c>
    </row>
    <row r="257" spans="1:13" x14ac:dyDescent="0.25">
      <c r="A257">
        <v>10256</v>
      </c>
      <c r="B257" t="str">
        <f t="shared" si="6"/>
        <v>Mar</v>
      </c>
      <c r="C257">
        <f t="shared" si="7"/>
        <v>3</v>
      </c>
      <c r="D257" t="s">
        <v>452</v>
      </c>
      <c r="E257" t="s">
        <v>453</v>
      </c>
      <c r="F257" t="s">
        <v>26</v>
      </c>
      <c r="G257" t="s">
        <v>46</v>
      </c>
      <c r="H257" t="s">
        <v>47</v>
      </c>
      <c r="I257" t="s">
        <v>22</v>
      </c>
      <c r="J257" t="s">
        <v>34</v>
      </c>
      <c r="K257">
        <v>5</v>
      </c>
      <c r="L257" s="4">
        <v>1808.03</v>
      </c>
      <c r="M257">
        <v>415.66</v>
      </c>
    </row>
    <row r="258" spans="1:13" x14ac:dyDescent="0.25">
      <c r="A258">
        <v>10257</v>
      </c>
      <c r="B258" t="str">
        <f t="shared" ref="B258:B321" si="8">TEXT(D258,"mmm")</f>
        <v>Jan</v>
      </c>
      <c r="C258">
        <f t="shared" ref="C258:C321" si="9">MONTH(D258)</f>
        <v>1</v>
      </c>
      <c r="D258" t="s">
        <v>378</v>
      </c>
      <c r="E258" t="s">
        <v>454</v>
      </c>
      <c r="F258" t="s">
        <v>31</v>
      </c>
      <c r="G258" t="s">
        <v>46</v>
      </c>
      <c r="H258" t="s">
        <v>47</v>
      </c>
      <c r="I258" t="s">
        <v>16</v>
      </c>
      <c r="J258" t="s">
        <v>51</v>
      </c>
      <c r="K258">
        <v>3</v>
      </c>
      <c r="L258" s="4">
        <v>3119.14</v>
      </c>
      <c r="M258">
        <v>686.62</v>
      </c>
    </row>
    <row r="259" spans="1:13" x14ac:dyDescent="0.25">
      <c r="A259">
        <v>10258</v>
      </c>
      <c r="B259" t="str">
        <f t="shared" si="8"/>
        <v>Dec</v>
      </c>
      <c r="C259">
        <f t="shared" si="9"/>
        <v>12</v>
      </c>
      <c r="D259" t="s">
        <v>455</v>
      </c>
      <c r="E259" t="s">
        <v>456</v>
      </c>
      <c r="F259" t="s">
        <v>26</v>
      </c>
      <c r="G259" t="s">
        <v>32</v>
      </c>
      <c r="H259" t="s">
        <v>33</v>
      </c>
      <c r="I259" t="s">
        <v>27</v>
      </c>
      <c r="J259" t="s">
        <v>28</v>
      </c>
      <c r="K259">
        <v>5</v>
      </c>
      <c r="L259" s="4">
        <v>2906.4</v>
      </c>
      <c r="M259">
        <v>785.89</v>
      </c>
    </row>
    <row r="260" spans="1:13" x14ac:dyDescent="0.25">
      <c r="A260">
        <v>10259</v>
      </c>
      <c r="B260" t="str">
        <f t="shared" si="8"/>
        <v>Jun</v>
      </c>
      <c r="C260">
        <f t="shared" si="9"/>
        <v>6</v>
      </c>
      <c r="D260" t="s">
        <v>457</v>
      </c>
      <c r="E260" t="s">
        <v>458</v>
      </c>
      <c r="F260" t="s">
        <v>26</v>
      </c>
      <c r="G260" t="s">
        <v>46</v>
      </c>
      <c r="H260" t="s">
        <v>47</v>
      </c>
      <c r="I260" t="s">
        <v>22</v>
      </c>
      <c r="J260" t="s">
        <v>38</v>
      </c>
      <c r="K260">
        <v>3</v>
      </c>
      <c r="L260" s="4">
        <v>3536.99</v>
      </c>
      <c r="M260">
        <v>279.56</v>
      </c>
    </row>
    <row r="261" spans="1:13" x14ac:dyDescent="0.25">
      <c r="A261">
        <v>10260</v>
      </c>
      <c r="B261" t="str">
        <f t="shared" si="8"/>
        <v>Feb</v>
      </c>
      <c r="C261">
        <f t="shared" si="9"/>
        <v>2</v>
      </c>
      <c r="D261" t="s">
        <v>79</v>
      </c>
      <c r="E261" t="s">
        <v>459</v>
      </c>
      <c r="F261" t="s">
        <v>13</v>
      </c>
      <c r="G261" t="s">
        <v>20</v>
      </c>
      <c r="H261" t="s">
        <v>76</v>
      </c>
      <c r="I261" t="s">
        <v>22</v>
      </c>
      <c r="J261" t="s">
        <v>38</v>
      </c>
      <c r="K261">
        <v>7</v>
      </c>
      <c r="L261" s="4">
        <v>1938.34</v>
      </c>
      <c r="M261">
        <v>54.05</v>
      </c>
    </row>
    <row r="262" spans="1:13" x14ac:dyDescent="0.25">
      <c r="A262">
        <v>10261</v>
      </c>
      <c r="B262" t="str">
        <f t="shared" si="8"/>
        <v>Feb</v>
      </c>
      <c r="C262">
        <f t="shared" si="9"/>
        <v>2</v>
      </c>
      <c r="D262" t="s">
        <v>79</v>
      </c>
      <c r="E262" t="s">
        <v>460</v>
      </c>
      <c r="F262" t="s">
        <v>31</v>
      </c>
      <c r="G262" t="s">
        <v>32</v>
      </c>
      <c r="H262" t="s">
        <v>54</v>
      </c>
      <c r="I262" t="s">
        <v>27</v>
      </c>
      <c r="J262" t="s">
        <v>77</v>
      </c>
      <c r="K262">
        <v>6</v>
      </c>
      <c r="L262" s="4">
        <v>2951.58</v>
      </c>
      <c r="M262">
        <v>704.02</v>
      </c>
    </row>
    <row r="263" spans="1:13" x14ac:dyDescent="0.25">
      <c r="A263">
        <v>10262</v>
      </c>
      <c r="B263" t="str">
        <f t="shared" si="8"/>
        <v>Jun</v>
      </c>
      <c r="C263">
        <f t="shared" si="9"/>
        <v>6</v>
      </c>
      <c r="D263" t="s">
        <v>461</v>
      </c>
      <c r="E263" t="s">
        <v>458</v>
      </c>
      <c r="F263" t="s">
        <v>31</v>
      </c>
      <c r="G263" t="s">
        <v>32</v>
      </c>
      <c r="H263" t="s">
        <v>33</v>
      </c>
      <c r="I263" t="s">
        <v>16</v>
      </c>
      <c r="J263" t="s">
        <v>51</v>
      </c>
      <c r="K263">
        <v>4</v>
      </c>
      <c r="L263" s="4">
        <v>4843.83</v>
      </c>
      <c r="M263">
        <v>1191.58</v>
      </c>
    </row>
    <row r="264" spans="1:13" x14ac:dyDescent="0.25">
      <c r="A264">
        <v>10263</v>
      </c>
      <c r="B264" t="str">
        <f t="shared" si="8"/>
        <v>Nov</v>
      </c>
      <c r="C264">
        <f t="shared" si="9"/>
        <v>11</v>
      </c>
      <c r="D264" t="s">
        <v>462</v>
      </c>
      <c r="E264" t="s">
        <v>416</v>
      </c>
      <c r="F264" t="s">
        <v>31</v>
      </c>
      <c r="G264" t="s">
        <v>32</v>
      </c>
      <c r="H264" t="s">
        <v>33</v>
      </c>
      <c r="I264" t="s">
        <v>16</v>
      </c>
      <c r="J264" t="s">
        <v>51</v>
      </c>
      <c r="K264">
        <v>6</v>
      </c>
      <c r="L264" s="4">
        <v>4481.3599999999997</v>
      </c>
      <c r="M264">
        <v>1073.46</v>
      </c>
    </row>
    <row r="265" spans="1:13" x14ac:dyDescent="0.25">
      <c r="A265">
        <v>10264</v>
      </c>
      <c r="B265" t="str">
        <f t="shared" si="8"/>
        <v>Dec</v>
      </c>
      <c r="C265">
        <f t="shared" si="9"/>
        <v>12</v>
      </c>
      <c r="D265" t="s">
        <v>463</v>
      </c>
      <c r="E265" t="s">
        <v>464</v>
      </c>
      <c r="F265" t="s">
        <v>13</v>
      </c>
      <c r="G265" t="s">
        <v>14</v>
      </c>
      <c r="H265" t="s">
        <v>15</v>
      </c>
      <c r="I265" t="s">
        <v>22</v>
      </c>
      <c r="J265" t="s">
        <v>34</v>
      </c>
      <c r="K265">
        <v>8</v>
      </c>
      <c r="L265" s="4">
        <v>103.31</v>
      </c>
      <c r="M265">
        <v>9.68</v>
      </c>
    </row>
    <row r="266" spans="1:13" x14ac:dyDescent="0.25">
      <c r="A266">
        <v>10265</v>
      </c>
      <c r="B266" t="str">
        <f t="shared" si="8"/>
        <v>Mar</v>
      </c>
      <c r="C266">
        <f t="shared" si="9"/>
        <v>3</v>
      </c>
      <c r="D266" t="s">
        <v>179</v>
      </c>
      <c r="E266" t="s">
        <v>465</v>
      </c>
      <c r="F266" t="s">
        <v>31</v>
      </c>
      <c r="G266" t="s">
        <v>32</v>
      </c>
      <c r="H266" t="s">
        <v>33</v>
      </c>
      <c r="I266" t="s">
        <v>27</v>
      </c>
      <c r="J266" t="s">
        <v>118</v>
      </c>
      <c r="K266">
        <v>6</v>
      </c>
      <c r="L266" s="4">
        <v>1326.91</v>
      </c>
      <c r="M266">
        <v>99.32</v>
      </c>
    </row>
    <row r="267" spans="1:13" x14ac:dyDescent="0.25">
      <c r="A267">
        <v>10266</v>
      </c>
      <c r="B267" t="str">
        <f t="shared" si="8"/>
        <v>Apr</v>
      </c>
      <c r="C267">
        <f t="shared" si="9"/>
        <v>4</v>
      </c>
      <c r="D267" t="s">
        <v>225</v>
      </c>
      <c r="E267" t="s">
        <v>466</v>
      </c>
      <c r="F267" t="s">
        <v>13</v>
      </c>
      <c r="G267" t="s">
        <v>32</v>
      </c>
      <c r="H267" t="s">
        <v>33</v>
      </c>
      <c r="I267" t="s">
        <v>27</v>
      </c>
      <c r="J267" t="s">
        <v>118</v>
      </c>
      <c r="K267">
        <v>2</v>
      </c>
      <c r="L267" s="4">
        <v>105.32</v>
      </c>
      <c r="M267">
        <v>4.55</v>
      </c>
    </row>
    <row r="268" spans="1:13" x14ac:dyDescent="0.25">
      <c r="A268">
        <v>10267</v>
      </c>
      <c r="B268" t="str">
        <f t="shared" si="8"/>
        <v>Feb</v>
      </c>
      <c r="C268">
        <f t="shared" si="9"/>
        <v>2</v>
      </c>
      <c r="D268" t="s">
        <v>467</v>
      </c>
      <c r="E268" t="s">
        <v>468</v>
      </c>
      <c r="F268" t="s">
        <v>31</v>
      </c>
      <c r="G268" t="s">
        <v>20</v>
      </c>
      <c r="H268" t="s">
        <v>21</v>
      </c>
      <c r="I268" t="s">
        <v>22</v>
      </c>
      <c r="J268" t="s">
        <v>38</v>
      </c>
      <c r="K268">
        <v>2</v>
      </c>
      <c r="L268" s="4">
        <v>4941.96</v>
      </c>
      <c r="M268">
        <v>755.65</v>
      </c>
    </row>
    <row r="269" spans="1:13" x14ac:dyDescent="0.25">
      <c r="A269">
        <v>10268</v>
      </c>
      <c r="B269" t="str">
        <f t="shared" si="8"/>
        <v>Mar</v>
      </c>
      <c r="C269">
        <f t="shared" si="9"/>
        <v>3</v>
      </c>
      <c r="D269" t="s">
        <v>128</v>
      </c>
      <c r="E269" t="s">
        <v>329</v>
      </c>
      <c r="F269" t="s">
        <v>13</v>
      </c>
      <c r="G269" t="s">
        <v>14</v>
      </c>
      <c r="H269" t="s">
        <v>15</v>
      </c>
      <c r="I269" t="s">
        <v>22</v>
      </c>
      <c r="J269" t="s">
        <v>38</v>
      </c>
      <c r="K269">
        <v>6</v>
      </c>
      <c r="L269" s="4">
        <v>4416.8500000000004</v>
      </c>
      <c r="M269">
        <v>294.92</v>
      </c>
    </row>
    <row r="270" spans="1:13" x14ac:dyDescent="0.25">
      <c r="A270">
        <v>10269</v>
      </c>
      <c r="B270" t="str">
        <f t="shared" si="8"/>
        <v>Mar</v>
      </c>
      <c r="C270">
        <f t="shared" si="9"/>
        <v>3</v>
      </c>
      <c r="D270" t="s">
        <v>469</v>
      </c>
      <c r="E270" t="s">
        <v>470</v>
      </c>
      <c r="F270" t="s">
        <v>13</v>
      </c>
      <c r="G270" t="s">
        <v>46</v>
      </c>
      <c r="H270" t="s">
        <v>71</v>
      </c>
      <c r="I270" t="s">
        <v>16</v>
      </c>
      <c r="J270" t="s">
        <v>81</v>
      </c>
      <c r="K270">
        <v>3</v>
      </c>
      <c r="L270" s="4">
        <v>2256.4899999999998</v>
      </c>
      <c r="M270">
        <v>457.56</v>
      </c>
    </row>
    <row r="271" spans="1:13" x14ac:dyDescent="0.25">
      <c r="A271">
        <v>10270</v>
      </c>
      <c r="B271" t="str">
        <f t="shared" si="8"/>
        <v>Aug</v>
      </c>
      <c r="C271">
        <f t="shared" si="9"/>
        <v>8</v>
      </c>
      <c r="D271" t="s">
        <v>142</v>
      </c>
      <c r="E271" t="s">
        <v>471</v>
      </c>
      <c r="F271" t="s">
        <v>26</v>
      </c>
      <c r="G271" t="s">
        <v>20</v>
      </c>
      <c r="H271" t="s">
        <v>21</v>
      </c>
      <c r="I271" t="s">
        <v>22</v>
      </c>
      <c r="J271" t="s">
        <v>23</v>
      </c>
      <c r="K271">
        <v>3</v>
      </c>
      <c r="L271" s="4">
        <v>3786.98</v>
      </c>
      <c r="M271">
        <v>709.12</v>
      </c>
    </row>
    <row r="272" spans="1:13" x14ac:dyDescent="0.25">
      <c r="A272">
        <v>10271</v>
      </c>
      <c r="B272" t="str">
        <f t="shared" si="8"/>
        <v>Dec</v>
      </c>
      <c r="C272">
        <f t="shared" si="9"/>
        <v>12</v>
      </c>
      <c r="D272" t="s">
        <v>232</v>
      </c>
      <c r="E272" t="s">
        <v>472</v>
      </c>
      <c r="F272" t="s">
        <v>13</v>
      </c>
      <c r="G272" t="s">
        <v>46</v>
      </c>
      <c r="H272" t="s">
        <v>47</v>
      </c>
      <c r="I272" t="s">
        <v>16</v>
      </c>
      <c r="J272" t="s">
        <v>81</v>
      </c>
      <c r="K272">
        <v>4</v>
      </c>
      <c r="L272" s="4">
        <v>2811.64</v>
      </c>
      <c r="M272">
        <v>501.57</v>
      </c>
    </row>
    <row r="273" spans="1:13" x14ac:dyDescent="0.25">
      <c r="A273">
        <v>10272</v>
      </c>
      <c r="B273" t="str">
        <f t="shared" si="8"/>
        <v>May</v>
      </c>
      <c r="C273">
        <f t="shared" si="9"/>
        <v>5</v>
      </c>
      <c r="D273" t="s">
        <v>473</v>
      </c>
      <c r="E273" t="s">
        <v>474</v>
      </c>
      <c r="F273" t="s">
        <v>31</v>
      </c>
      <c r="G273" t="s">
        <v>32</v>
      </c>
      <c r="H273" t="s">
        <v>33</v>
      </c>
      <c r="I273" t="s">
        <v>16</v>
      </c>
      <c r="J273" t="s">
        <v>43</v>
      </c>
      <c r="K273">
        <v>7</v>
      </c>
      <c r="L273" s="4">
        <v>1548.16</v>
      </c>
      <c r="M273">
        <v>8.74</v>
      </c>
    </row>
    <row r="274" spans="1:13" x14ac:dyDescent="0.25">
      <c r="A274">
        <v>10273</v>
      </c>
      <c r="B274" t="str">
        <f t="shared" si="8"/>
        <v>Oct</v>
      </c>
      <c r="C274">
        <f t="shared" si="9"/>
        <v>10</v>
      </c>
      <c r="D274" t="s">
        <v>475</v>
      </c>
      <c r="E274" t="s">
        <v>476</v>
      </c>
      <c r="F274" t="s">
        <v>31</v>
      </c>
      <c r="G274" t="s">
        <v>14</v>
      </c>
      <c r="H274" t="s">
        <v>15</v>
      </c>
      <c r="I274" t="s">
        <v>27</v>
      </c>
      <c r="J274" t="s">
        <v>118</v>
      </c>
      <c r="K274">
        <v>1</v>
      </c>
      <c r="L274" s="4">
        <v>4935.72</v>
      </c>
      <c r="M274">
        <v>1385.99</v>
      </c>
    </row>
    <row r="275" spans="1:13" x14ac:dyDescent="0.25">
      <c r="A275">
        <v>10274</v>
      </c>
      <c r="B275" t="str">
        <f t="shared" si="8"/>
        <v>Jul</v>
      </c>
      <c r="C275">
        <f t="shared" si="9"/>
        <v>7</v>
      </c>
      <c r="D275" t="s">
        <v>477</v>
      </c>
      <c r="E275" t="s">
        <v>478</v>
      </c>
      <c r="F275" t="s">
        <v>31</v>
      </c>
      <c r="G275" t="s">
        <v>46</v>
      </c>
      <c r="H275" t="s">
        <v>47</v>
      </c>
      <c r="I275" t="s">
        <v>22</v>
      </c>
      <c r="J275" t="s">
        <v>23</v>
      </c>
      <c r="K275">
        <v>2</v>
      </c>
      <c r="L275" s="4">
        <v>167.59</v>
      </c>
      <c r="M275">
        <v>-74.84</v>
      </c>
    </row>
    <row r="276" spans="1:13" x14ac:dyDescent="0.25">
      <c r="A276">
        <v>10275</v>
      </c>
      <c r="B276" t="str">
        <f t="shared" si="8"/>
        <v>Feb</v>
      </c>
      <c r="C276">
        <f t="shared" si="9"/>
        <v>2</v>
      </c>
      <c r="D276" t="s">
        <v>479</v>
      </c>
      <c r="E276" t="s">
        <v>480</v>
      </c>
      <c r="F276" t="s">
        <v>26</v>
      </c>
      <c r="G276" t="s">
        <v>20</v>
      </c>
      <c r="H276" t="s">
        <v>76</v>
      </c>
      <c r="I276" t="s">
        <v>16</v>
      </c>
      <c r="J276" t="s">
        <v>51</v>
      </c>
      <c r="K276">
        <v>2</v>
      </c>
      <c r="L276" s="4">
        <v>3238.63</v>
      </c>
      <c r="M276">
        <v>581.98</v>
      </c>
    </row>
    <row r="277" spans="1:13" x14ac:dyDescent="0.25">
      <c r="A277">
        <v>10276</v>
      </c>
      <c r="B277" t="str">
        <f t="shared" si="8"/>
        <v>Nov</v>
      </c>
      <c r="C277">
        <f t="shared" si="9"/>
        <v>11</v>
      </c>
      <c r="D277" t="s">
        <v>388</v>
      </c>
      <c r="E277" t="s">
        <v>481</v>
      </c>
      <c r="F277" t="s">
        <v>31</v>
      </c>
      <c r="G277" t="s">
        <v>46</v>
      </c>
      <c r="H277" t="s">
        <v>71</v>
      </c>
      <c r="I277" t="s">
        <v>16</v>
      </c>
      <c r="J277" t="s">
        <v>17</v>
      </c>
      <c r="K277">
        <v>7</v>
      </c>
      <c r="L277" s="4">
        <v>2973.54</v>
      </c>
      <c r="M277">
        <v>651.05999999999995</v>
      </c>
    </row>
    <row r="278" spans="1:13" x14ac:dyDescent="0.25">
      <c r="A278">
        <v>10277</v>
      </c>
      <c r="B278" t="str">
        <f t="shared" si="8"/>
        <v>Jan</v>
      </c>
      <c r="C278">
        <f t="shared" si="9"/>
        <v>1</v>
      </c>
      <c r="D278" t="s">
        <v>482</v>
      </c>
      <c r="E278" t="s">
        <v>483</v>
      </c>
      <c r="F278" t="s">
        <v>13</v>
      </c>
      <c r="G278" t="s">
        <v>20</v>
      </c>
      <c r="H278" t="s">
        <v>21</v>
      </c>
      <c r="I278" t="s">
        <v>22</v>
      </c>
      <c r="J278" t="s">
        <v>48</v>
      </c>
      <c r="K278">
        <v>2</v>
      </c>
      <c r="L278" s="4">
        <v>4630.68</v>
      </c>
      <c r="M278">
        <v>304.58</v>
      </c>
    </row>
    <row r="279" spans="1:13" x14ac:dyDescent="0.25">
      <c r="A279">
        <v>10278</v>
      </c>
      <c r="B279" t="str">
        <f t="shared" si="8"/>
        <v>May</v>
      </c>
      <c r="C279">
        <f t="shared" si="9"/>
        <v>5</v>
      </c>
      <c r="D279" t="s">
        <v>130</v>
      </c>
      <c r="E279" t="s">
        <v>484</v>
      </c>
      <c r="F279" t="s">
        <v>31</v>
      </c>
      <c r="G279" t="s">
        <v>46</v>
      </c>
      <c r="H279" t="s">
        <v>71</v>
      </c>
      <c r="I279" t="s">
        <v>22</v>
      </c>
      <c r="J279" t="s">
        <v>48</v>
      </c>
      <c r="K279">
        <v>1</v>
      </c>
      <c r="L279" s="4">
        <v>902.78</v>
      </c>
      <c r="M279">
        <v>207.93</v>
      </c>
    </row>
    <row r="280" spans="1:13" x14ac:dyDescent="0.25">
      <c r="A280">
        <v>10279</v>
      </c>
      <c r="B280" t="str">
        <f t="shared" si="8"/>
        <v>May</v>
      </c>
      <c r="C280">
        <f t="shared" si="9"/>
        <v>5</v>
      </c>
      <c r="D280" t="s">
        <v>57</v>
      </c>
      <c r="E280" t="s">
        <v>485</v>
      </c>
      <c r="F280" t="s">
        <v>13</v>
      </c>
      <c r="G280" t="s">
        <v>46</v>
      </c>
      <c r="H280" t="s">
        <v>47</v>
      </c>
      <c r="I280" t="s">
        <v>16</v>
      </c>
      <c r="J280" t="s">
        <v>81</v>
      </c>
      <c r="K280">
        <v>1</v>
      </c>
      <c r="L280" s="4">
        <v>1741.55</v>
      </c>
      <c r="M280">
        <v>221.61</v>
      </c>
    </row>
    <row r="281" spans="1:13" x14ac:dyDescent="0.25">
      <c r="A281">
        <v>10280</v>
      </c>
      <c r="B281" t="str">
        <f t="shared" si="8"/>
        <v>May</v>
      </c>
      <c r="C281">
        <f t="shared" si="9"/>
        <v>5</v>
      </c>
      <c r="D281" t="s">
        <v>486</v>
      </c>
      <c r="E281" t="s">
        <v>36</v>
      </c>
      <c r="F281" t="s">
        <v>26</v>
      </c>
      <c r="G281" t="s">
        <v>14</v>
      </c>
      <c r="H281" t="s">
        <v>37</v>
      </c>
      <c r="I281" t="s">
        <v>27</v>
      </c>
      <c r="J281" t="s">
        <v>28</v>
      </c>
      <c r="K281">
        <v>1</v>
      </c>
      <c r="L281" s="4">
        <v>2548.09</v>
      </c>
      <c r="M281">
        <v>451.75</v>
      </c>
    </row>
    <row r="282" spans="1:13" x14ac:dyDescent="0.25">
      <c r="A282">
        <v>10281</v>
      </c>
      <c r="B282" t="str">
        <f t="shared" si="8"/>
        <v>Jul</v>
      </c>
      <c r="C282">
        <f t="shared" si="9"/>
        <v>7</v>
      </c>
      <c r="D282" t="s">
        <v>487</v>
      </c>
      <c r="E282" t="s">
        <v>488</v>
      </c>
      <c r="F282" t="s">
        <v>26</v>
      </c>
      <c r="G282" t="s">
        <v>14</v>
      </c>
      <c r="H282" t="s">
        <v>15</v>
      </c>
      <c r="I282" t="s">
        <v>16</v>
      </c>
      <c r="J282" t="s">
        <v>81</v>
      </c>
      <c r="K282">
        <v>1</v>
      </c>
      <c r="L282" s="4">
        <v>4307.58</v>
      </c>
      <c r="M282">
        <v>224.01</v>
      </c>
    </row>
    <row r="283" spans="1:13" x14ac:dyDescent="0.25">
      <c r="A283">
        <v>10282</v>
      </c>
      <c r="B283" t="str">
        <f t="shared" si="8"/>
        <v>May</v>
      </c>
      <c r="C283">
        <f t="shared" si="9"/>
        <v>5</v>
      </c>
      <c r="D283" t="s">
        <v>154</v>
      </c>
      <c r="E283" t="s">
        <v>489</v>
      </c>
      <c r="F283" t="s">
        <v>26</v>
      </c>
      <c r="G283" t="s">
        <v>46</v>
      </c>
      <c r="H283" t="s">
        <v>71</v>
      </c>
      <c r="I283" t="s">
        <v>16</v>
      </c>
      <c r="J283" t="s">
        <v>51</v>
      </c>
      <c r="K283">
        <v>4</v>
      </c>
      <c r="L283" s="4">
        <v>1676.83</v>
      </c>
      <c r="M283">
        <v>186.31</v>
      </c>
    </row>
    <row r="284" spans="1:13" x14ac:dyDescent="0.25">
      <c r="A284">
        <v>10283</v>
      </c>
      <c r="B284" t="str">
        <f t="shared" si="8"/>
        <v>Jul</v>
      </c>
      <c r="C284">
        <f t="shared" si="9"/>
        <v>7</v>
      </c>
      <c r="D284" t="s">
        <v>490</v>
      </c>
      <c r="E284" t="s">
        <v>379</v>
      </c>
      <c r="F284" t="s">
        <v>31</v>
      </c>
      <c r="G284" t="s">
        <v>32</v>
      </c>
      <c r="H284" t="s">
        <v>33</v>
      </c>
      <c r="I284" t="s">
        <v>16</v>
      </c>
      <c r="J284" t="s">
        <v>81</v>
      </c>
      <c r="K284">
        <v>3</v>
      </c>
      <c r="L284" s="4">
        <v>1193.6099999999999</v>
      </c>
      <c r="M284">
        <v>209</v>
      </c>
    </row>
    <row r="285" spans="1:13" x14ac:dyDescent="0.25">
      <c r="A285">
        <v>10284</v>
      </c>
      <c r="B285" t="str">
        <f t="shared" si="8"/>
        <v>Jun</v>
      </c>
      <c r="C285">
        <f t="shared" si="9"/>
        <v>6</v>
      </c>
      <c r="D285" t="s">
        <v>491</v>
      </c>
      <c r="E285" t="s">
        <v>492</v>
      </c>
      <c r="F285" t="s">
        <v>13</v>
      </c>
      <c r="G285" t="s">
        <v>32</v>
      </c>
      <c r="H285" t="s">
        <v>54</v>
      </c>
      <c r="I285" t="s">
        <v>27</v>
      </c>
      <c r="J285" t="s">
        <v>118</v>
      </c>
      <c r="K285">
        <v>8</v>
      </c>
      <c r="L285" s="4">
        <v>139.05000000000001</v>
      </c>
      <c r="M285">
        <v>-42.45</v>
      </c>
    </row>
    <row r="286" spans="1:13" x14ac:dyDescent="0.25">
      <c r="A286">
        <v>10285</v>
      </c>
      <c r="B286" t="str">
        <f t="shared" si="8"/>
        <v>Mar</v>
      </c>
      <c r="C286">
        <f t="shared" si="9"/>
        <v>3</v>
      </c>
      <c r="D286" t="s">
        <v>469</v>
      </c>
      <c r="E286" t="s">
        <v>493</v>
      </c>
      <c r="F286" t="s">
        <v>31</v>
      </c>
      <c r="G286" t="s">
        <v>46</v>
      </c>
      <c r="H286" t="s">
        <v>47</v>
      </c>
      <c r="I286" t="s">
        <v>27</v>
      </c>
      <c r="J286" t="s">
        <v>77</v>
      </c>
      <c r="K286">
        <v>4</v>
      </c>
      <c r="L286" s="4">
        <v>3689.07</v>
      </c>
      <c r="M286">
        <v>608.92999999999995</v>
      </c>
    </row>
    <row r="287" spans="1:13" x14ac:dyDescent="0.25">
      <c r="A287">
        <v>10286</v>
      </c>
      <c r="B287" t="str">
        <f t="shared" si="8"/>
        <v>Jun</v>
      </c>
      <c r="C287">
        <f t="shared" si="9"/>
        <v>6</v>
      </c>
      <c r="D287" t="s">
        <v>346</v>
      </c>
      <c r="E287" t="s">
        <v>494</v>
      </c>
      <c r="F287" t="s">
        <v>26</v>
      </c>
      <c r="G287" t="s">
        <v>14</v>
      </c>
      <c r="H287" t="s">
        <v>15</v>
      </c>
      <c r="I287" t="s">
        <v>16</v>
      </c>
      <c r="J287" t="s">
        <v>17</v>
      </c>
      <c r="K287">
        <v>1</v>
      </c>
      <c r="L287" s="4">
        <v>4759.8500000000004</v>
      </c>
      <c r="M287">
        <v>174</v>
      </c>
    </row>
    <row r="288" spans="1:13" x14ac:dyDescent="0.25">
      <c r="A288">
        <v>10287</v>
      </c>
      <c r="B288" t="str">
        <f t="shared" si="8"/>
        <v>Sep</v>
      </c>
      <c r="C288">
        <f t="shared" si="9"/>
        <v>9</v>
      </c>
      <c r="D288" t="s">
        <v>495</v>
      </c>
      <c r="E288" t="s">
        <v>106</v>
      </c>
      <c r="F288" t="s">
        <v>13</v>
      </c>
      <c r="G288" t="s">
        <v>46</v>
      </c>
      <c r="H288" t="s">
        <v>47</v>
      </c>
      <c r="I288" t="s">
        <v>27</v>
      </c>
      <c r="J288" t="s">
        <v>118</v>
      </c>
      <c r="K288">
        <v>3</v>
      </c>
      <c r="L288" s="4">
        <v>3587.1</v>
      </c>
      <c r="M288">
        <v>170.65</v>
      </c>
    </row>
    <row r="289" spans="1:13" x14ac:dyDescent="0.25">
      <c r="A289">
        <v>10288</v>
      </c>
      <c r="B289" t="str">
        <f t="shared" si="8"/>
        <v>Oct</v>
      </c>
      <c r="C289">
        <f t="shared" si="9"/>
        <v>10</v>
      </c>
      <c r="D289" t="s">
        <v>344</v>
      </c>
      <c r="E289" t="s">
        <v>496</v>
      </c>
      <c r="F289" t="s">
        <v>26</v>
      </c>
      <c r="G289" t="s">
        <v>32</v>
      </c>
      <c r="H289" t="s">
        <v>54</v>
      </c>
      <c r="I289" t="s">
        <v>16</v>
      </c>
      <c r="J289" t="s">
        <v>81</v>
      </c>
      <c r="K289">
        <v>2</v>
      </c>
      <c r="L289" s="4">
        <v>2576.6</v>
      </c>
      <c r="M289">
        <v>499.86</v>
      </c>
    </row>
    <row r="290" spans="1:13" x14ac:dyDescent="0.25">
      <c r="A290">
        <v>10289</v>
      </c>
      <c r="B290" t="str">
        <f t="shared" si="8"/>
        <v>Jun</v>
      </c>
      <c r="C290">
        <f t="shared" si="9"/>
        <v>6</v>
      </c>
      <c r="D290" t="s">
        <v>497</v>
      </c>
      <c r="E290" t="s">
        <v>498</v>
      </c>
      <c r="F290" t="s">
        <v>31</v>
      </c>
      <c r="G290" t="s">
        <v>20</v>
      </c>
      <c r="H290" t="s">
        <v>21</v>
      </c>
      <c r="I290" t="s">
        <v>22</v>
      </c>
      <c r="J290" t="s">
        <v>38</v>
      </c>
      <c r="K290">
        <v>5</v>
      </c>
      <c r="L290" s="4">
        <v>4269.4799999999996</v>
      </c>
      <c r="M290">
        <v>1162.6099999999999</v>
      </c>
    </row>
    <row r="291" spans="1:13" x14ac:dyDescent="0.25">
      <c r="A291">
        <v>10290</v>
      </c>
      <c r="B291" t="str">
        <f t="shared" si="8"/>
        <v>Mar</v>
      </c>
      <c r="C291">
        <f t="shared" si="9"/>
        <v>3</v>
      </c>
      <c r="D291" t="s">
        <v>179</v>
      </c>
      <c r="E291" t="s">
        <v>273</v>
      </c>
      <c r="F291" t="s">
        <v>31</v>
      </c>
      <c r="G291" t="s">
        <v>32</v>
      </c>
      <c r="H291" t="s">
        <v>33</v>
      </c>
      <c r="I291" t="s">
        <v>22</v>
      </c>
      <c r="J291" t="s">
        <v>48</v>
      </c>
      <c r="K291">
        <v>3</v>
      </c>
      <c r="L291" s="4">
        <v>3921.69</v>
      </c>
      <c r="M291">
        <v>753.8</v>
      </c>
    </row>
    <row r="292" spans="1:13" x14ac:dyDescent="0.25">
      <c r="A292">
        <v>10291</v>
      </c>
      <c r="B292" t="str">
        <f t="shared" si="8"/>
        <v>Feb</v>
      </c>
      <c r="C292">
        <f t="shared" si="9"/>
        <v>2</v>
      </c>
      <c r="D292" t="s">
        <v>52</v>
      </c>
      <c r="E292" t="s">
        <v>255</v>
      </c>
      <c r="F292" t="s">
        <v>13</v>
      </c>
      <c r="G292" t="s">
        <v>32</v>
      </c>
      <c r="H292" t="s">
        <v>54</v>
      </c>
      <c r="I292" t="s">
        <v>22</v>
      </c>
      <c r="J292" t="s">
        <v>38</v>
      </c>
      <c r="K292">
        <v>4</v>
      </c>
      <c r="L292" s="4">
        <v>2314.39</v>
      </c>
      <c r="M292">
        <v>298.56</v>
      </c>
    </row>
    <row r="293" spans="1:13" x14ac:dyDescent="0.25">
      <c r="A293">
        <v>10292</v>
      </c>
      <c r="B293" t="str">
        <f t="shared" si="8"/>
        <v>Sep</v>
      </c>
      <c r="C293">
        <f t="shared" si="9"/>
        <v>9</v>
      </c>
      <c r="D293" t="s">
        <v>499</v>
      </c>
      <c r="E293" t="s">
        <v>500</v>
      </c>
      <c r="F293" t="s">
        <v>13</v>
      </c>
      <c r="G293" t="s">
        <v>32</v>
      </c>
      <c r="H293" t="s">
        <v>33</v>
      </c>
      <c r="I293" t="s">
        <v>22</v>
      </c>
      <c r="J293" t="s">
        <v>38</v>
      </c>
      <c r="K293">
        <v>3</v>
      </c>
      <c r="L293" s="4">
        <v>546.94000000000005</v>
      </c>
      <c r="M293">
        <v>25.71</v>
      </c>
    </row>
    <row r="294" spans="1:13" x14ac:dyDescent="0.25">
      <c r="A294">
        <v>10293</v>
      </c>
      <c r="B294" t="str">
        <f t="shared" si="8"/>
        <v>Feb</v>
      </c>
      <c r="C294">
        <f t="shared" si="9"/>
        <v>2</v>
      </c>
      <c r="D294" t="s">
        <v>72</v>
      </c>
      <c r="E294" t="s">
        <v>78</v>
      </c>
      <c r="F294" t="s">
        <v>26</v>
      </c>
      <c r="G294" t="s">
        <v>32</v>
      </c>
      <c r="H294" t="s">
        <v>54</v>
      </c>
      <c r="I294" t="s">
        <v>22</v>
      </c>
      <c r="J294" t="s">
        <v>23</v>
      </c>
      <c r="K294">
        <v>7</v>
      </c>
      <c r="L294" s="4">
        <v>4287.55</v>
      </c>
      <c r="M294">
        <v>755.29</v>
      </c>
    </row>
    <row r="295" spans="1:13" x14ac:dyDescent="0.25">
      <c r="A295">
        <v>10294</v>
      </c>
      <c r="B295" t="str">
        <f t="shared" si="8"/>
        <v>Nov</v>
      </c>
      <c r="C295">
        <f t="shared" si="9"/>
        <v>11</v>
      </c>
      <c r="D295" t="s">
        <v>193</v>
      </c>
      <c r="E295" t="s">
        <v>501</v>
      </c>
      <c r="F295" t="s">
        <v>26</v>
      </c>
      <c r="G295" t="s">
        <v>46</v>
      </c>
      <c r="H295" t="s">
        <v>71</v>
      </c>
      <c r="I295" t="s">
        <v>22</v>
      </c>
      <c r="J295" t="s">
        <v>23</v>
      </c>
      <c r="K295">
        <v>4</v>
      </c>
      <c r="L295" s="4">
        <v>740.5</v>
      </c>
      <c r="M295">
        <v>152.28</v>
      </c>
    </row>
    <row r="296" spans="1:13" x14ac:dyDescent="0.25">
      <c r="A296">
        <v>10295</v>
      </c>
      <c r="B296" t="str">
        <f t="shared" si="8"/>
        <v>Jun</v>
      </c>
      <c r="C296">
        <f t="shared" si="9"/>
        <v>6</v>
      </c>
      <c r="D296" t="s">
        <v>305</v>
      </c>
      <c r="E296" t="s">
        <v>502</v>
      </c>
      <c r="F296" t="s">
        <v>26</v>
      </c>
      <c r="G296" t="s">
        <v>32</v>
      </c>
      <c r="H296" t="s">
        <v>33</v>
      </c>
      <c r="I296" t="s">
        <v>22</v>
      </c>
      <c r="J296" t="s">
        <v>23</v>
      </c>
      <c r="K296">
        <v>4</v>
      </c>
      <c r="L296" s="4">
        <v>4522.2299999999996</v>
      </c>
      <c r="M296">
        <v>714.56</v>
      </c>
    </row>
    <row r="297" spans="1:13" x14ac:dyDescent="0.25">
      <c r="A297">
        <v>10296</v>
      </c>
      <c r="B297" t="str">
        <f t="shared" si="8"/>
        <v>Jul</v>
      </c>
      <c r="C297">
        <f t="shared" si="9"/>
        <v>7</v>
      </c>
      <c r="D297" t="s">
        <v>39</v>
      </c>
      <c r="E297" t="s">
        <v>503</v>
      </c>
      <c r="F297" t="s">
        <v>26</v>
      </c>
      <c r="G297" t="s">
        <v>20</v>
      </c>
      <c r="H297" t="s">
        <v>21</v>
      </c>
      <c r="I297" t="s">
        <v>22</v>
      </c>
      <c r="J297" t="s">
        <v>34</v>
      </c>
      <c r="K297">
        <v>7</v>
      </c>
      <c r="L297" s="4">
        <v>2531.02</v>
      </c>
      <c r="M297">
        <v>326.06</v>
      </c>
    </row>
    <row r="298" spans="1:13" x14ac:dyDescent="0.25">
      <c r="A298">
        <v>10297</v>
      </c>
      <c r="B298" t="str">
        <f t="shared" si="8"/>
        <v>Sep</v>
      </c>
      <c r="C298">
        <f t="shared" si="9"/>
        <v>9</v>
      </c>
      <c r="D298" t="s">
        <v>337</v>
      </c>
      <c r="E298" t="s">
        <v>470</v>
      </c>
      <c r="F298" t="s">
        <v>13</v>
      </c>
      <c r="G298" t="s">
        <v>32</v>
      </c>
      <c r="H298" t="s">
        <v>54</v>
      </c>
      <c r="I298" t="s">
        <v>27</v>
      </c>
      <c r="J298" t="s">
        <v>104</v>
      </c>
      <c r="K298">
        <v>1</v>
      </c>
      <c r="L298" s="4">
        <v>3109.12</v>
      </c>
      <c r="M298">
        <v>570.29</v>
      </c>
    </row>
    <row r="299" spans="1:13" x14ac:dyDescent="0.25">
      <c r="A299">
        <v>10298</v>
      </c>
      <c r="B299" t="str">
        <f t="shared" si="8"/>
        <v>Sep</v>
      </c>
      <c r="C299">
        <f t="shared" si="9"/>
        <v>9</v>
      </c>
      <c r="D299" t="s">
        <v>283</v>
      </c>
      <c r="E299" t="s">
        <v>504</v>
      </c>
      <c r="F299" t="s">
        <v>13</v>
      </c>
      <c r="G299" t="s">
        <v>20</v>
      </c>
      <c r="H299" t="s">
        <v>21</v>
      </c>
      <c r="I299" t="s">
        <v>22</v>
      </c>
      <c r="J299" t="s">
        <v>38</v>
      </c>
      <c r="K299">
        <v>7</v>
      </c>
      <c r="L299" s="4">
        <v>772.46</v>
      </c>
      <c r="M299">
        <v>-11.32</v>
      </c>
    </row>
    <row r="300" spans="1:13" x14ac:dyDescent="0.25">
      <c r="A300">
        <v>10299</v>
      </c>
      <c r="B300" t="str">
        <f t="shared" si="8"/>
        <v>Sep</v>
      </c>
      <c r="C300">
        <f t="shared" si="9"/>
        <v>9</v>
      </c>
      <c r="D300" t="s">
        <v>328</v>
      </c>
      <c r="E300" t="s">
        <v>122</v>
      </c>
      <c r="F300" t="s">
        <v>31</v>
      </c>
      <c r="G300" t="s">
        <v>14</v>
      </c>
      <c r="H300" t="s">
        <v>37</v>
      </c>
      <c r="I300" t="s">
        <v>16</v>
      </c>
      <c r="J300" t="s">
        <v>17</v>
      </c>
      <c r="K300">
        <v>8</v>
      </c>
      <c r="L300" s="4">
        <v>2768.14</v>
      </c>
      <c r="M300">
        <v>382.55</v>
      </c>
    </row>
    <row r="301" spans="1:13" x14ac:dyDescent="0.25">
      <c r="A301">
        <v>10300</v>
      </c>
      <c r="B301" t="str">
        <f t="shared" si="8"/>
        <v>Aug</v>
      </c>
      <c r="C301">
        <f t="shared" si="9"/>
        <v>8</v>
      </c>
      <c r="D301" t="s">
        <v>505</v>
      </c>
      <c r="E301" t="s">
        <v>506</v>
      </c>
      <c r="F301" t="s">
        <v>31</v>
      </c>
      <c r="G301" t="s">
        <v>32</v>
      </c>
      <c r="H301" t="s">
        <v>33</v>
      </c>
      <c r="I301" t="s">
        <v>22</v>
      </c>
      <c r="J301" t="s">
        <v>38</v>
      </c>
      <c r="K301">
        <v>4</v>
      </c>
      <c r="L301" s="4">
        <v>243.59</v>
      </c>
      <c r="M301">
        <v>33.46</v>
      </c>
    </row>
    <row r="302" spans="1:13" x14ac:dyDescent="0.25">
      <c r="A302">
        <v>10301</v>
      </c>
      <c r="B302" t="str">
        <f t="shared" si="8"/>
        <v>Jan</v>
      </c>
      <c r="C302">
        <f t="shared" si="9"/>
        <v>1</v>
      </c>
      <c r="D302" t="s">
        <v>482</v>
      </c>
      <c r="E302" t="s">
        <v>507</v>
      </c>
      <c r="F302" t="s">
        <v>26</v>
      </c>
      <c r="G302" t="s">
        <v>46</v>
      </c>
      <c r="H302" t="s">
        <v>71</v>
      </c>
      <c r="I302" t="s">
        <v>22</v>
      </c>
      <c r="J302" t="s">
        <v>48</v>
      </c>
      <c r="K302">
        <v>4</v>
      </c>
      <c r="L302" s="4">
        <v>1405.98</v>
      </c>
      <c r="M302">
        <v>265.49</v>
      </c>
    </row>
    <row r="303" spans="1:13" x14ac:dyDescent="0.25">
      <c r="A303">
        <v>10302</v>
      </c>
      <c r="B303" t="str">
        <f t="shared" si="8"/>
        <v>Oct</v>
      </c>
      <c r="C303">
        <f t="shared" si="9"/>
        <v>10</v>
      </c>
      <c r="D303" t="s">
        <v>508</v>
      </c>
      <c r="E303" t="s">
        <v>509</v>
      </c>
      <c r="F303" t="s">
        <v>13</v>
      </c>
      <c r="G303" t="s">
        <v>20</v>
      </c>
      <c r="H303" t="s">
        <v>76</v>
      </c>
      <c r="I303" t="s">
        <v>22</v>
      </c>
      <c r="J303" t="s">
        <v>48</v>
      </c>
      <c r="K303">
        <v>4</v>
      </c>
      <c r="L303" s="4">
        <v>3003.35</v>
      </c>
      <c r="M303">
        <v>685.74</v>
      </c>
    </row>
    <row r="304" spans="1:13" x14ac:dyDescent="0.25">
      <c r="A304">
        <v>10303</v>
      </c>
      <c r="B304" t="str">
        <f t="shared" si="8"/>
        <v>Jan</v>
      </c>
      <c r="C304">
        <f t="shared" si="9"/>
        <v>1</v>
      </c>
      <c r="D304" t="s">
        <v>482</v>
      </c>
      <c r="E304" t="s">
        <v>510</v>
      </c>
      <c r="F304" t="s">
        <v>13</v>
      </c>
      <c r="G304" t="s">
        <v>32</v>
      </c>
      <c r="H304" t="s">
        <v>33</v>
      </c>
      <c r="I304" t="s">
        <v>16</v>
      </c>
      <c r="J304" t="s">
        <v>43</v>
      </c>
      <c r="K304">
        <v>8</v>
      </c>
      <c r="L304" s="4">
        <v>2756.41</v>
      </c>
      <c r="M304">
        <v>255</v>
      </c>
    </row>
    <row r="305" spans="1:13" x14ac:dyDescent="0.25">
      <c r="A305">
        <v>10304</v>
      </c>
      <c r="B305" t="str">
        <f t="shared" si="8"/>
        <v>Jun</v>
      </c>
      <c r="C305">
        <f t="shared" si="9"/>
        <v>6</v>
      </c>
      <c r="D305" t="s">
        <v>157</v>
      </c>
      <c r="E305" t="s">
        <v>511</v>
      </c>
      <c r="F305" t="s">
        <v>26</v>
      </c>
      <c r="G305" t="s">
        <v>46</v>
      </c>
      <c r="H305" t="s">
        <v>71</v>
      </c>
      <c r="I305" t="s">
        <v>16</v>
      </c>
      <c r="J305" t="s">
        <v>51</v>
      </c>
      <c r="K305">
        <v>1</v>
      </c>
      <c r="L305" s="4">
        <v>1725.5</v>
      </c>
      <c r="M305">
        <v>270.55</v>
      </c>
    </row>
    <row r="306" spans="1:13" x14ac:dyDescent="0.25">
      <c r="A306">
        <v>10305</v>
      </c>
      <c r="B306" t="str">
        <f t="shared" si="8"/>
        <v>Feb</v>
      </c>
      <c r="C306">
        <f t="shared" si="9"/>
        <v>2</v>
      </c>
      <c r="D306" t="s">
        <v>90</v>
      </c>
      <c r="E306" t="s">
        <v>373</v>
      </c>
      <c r="F306" t="s">
        <v>13</v>
      </c>
      <c r="G306" t="s">
        <v>32</v>
      </c>
      <c r="H306" t="s">
        <v>33</v>
      </c>
      <c r="I306" t="s">
        <v>22</v>
      </c>
      <c r="J306" t="s">
        <v>48</v>
      </c>
      <c r="K306">
        <v>3</v>
      </c>
      <c r="L306" s="4">
        <v>3894.4</v>
      </c>
      <c r="M306">
        <v>932.79</v>
      </c>
    </row>
    <row r="307" spans="1:13" x14ac:dyDescent="0.25">
      <c r="A307">
        <v>10306</v>
      </c>
      <c r="B307" t="str">
        <f t="shared" si="8"/>
        <v>Nov</v>
      </c>
      <c r="C307">
        <f t="shared" si="9"/>
        <v>11</v>
      </c>
      <c r="D307" t="s">
        <v>41</v>
      </c>
      <c r="E307" t="s">
        <v>512</v>
      </c>
      <c r="F307" t="s">
        <v>13</v>
      </c>
      <c r="G307" t="s">
        <v>20</v>
      </c>
      <c r="H307" t="s">
        <v>21</v>
      </c>
      <c r="I307" t="s">
        <v>27</v>
      </c>
      <c r="J307" t="s">
        <v>28</v>
      </c>
      <c r="K307">
        <v>6</v>
      </c>
      <c r="L307" s="4">
        <v>768.61</v>
      </c>
      <c r="M307">
        <v>-26.17</v>
      </c>
    </row>
    <row r="308" spans="1:13" x14ac:dyDescent="0.25">
      <c r="A308">
        <v>10307</v>
      </c>
      <c r="B308" t="str">
        <f t="shared" si="8"/>
        <v>Dec</v>
      </c>
      <c r="C308">
        <f t="shared" si="9"/>
        <v>12</v>
      </c>
      <c r="D308" t="s">
        <v>463</v>
      </c>
      <c r="E308" t="s">
        <v>513</v>
      </c>
      <c r="F308" t="s">
        <v>26</v>
      </c>
      <c r="G308" t="s">
        <v>32</v>
      </c>
      <c r="H308" t="s">
        <v>33</v>
      </c>
      <c r="I308" t="s">
        <v>16</v>
      </c>
      <c r="J308" t="s">
        <v>17</v>
      </c>
      <c r="K308">
        <v>4</v>
      </c>
      <c r="L308" s="4">
        <v>3361.11</v>
      </c>
      <c r="M308">
        <v>814.58</v>
      </c>
    </row>
    <row r="309" spans="1:13" x14ac:dyDescent="0.25">
      <c r="A309">
        <v>10308</v>
      </c>
      <c r="B309" t="str">
        <f t="shared" si="8"/>
        <v>Nov</v>
      </c>
      <c r="C309">
        <f t="shared" si="9"/>
        <v>11</v>
      </c>
      <c r="D309" t="s">
        <v>514</v>
      </c>
      <c r="E309" t="s">
        <v>230</v>
      </c>
      <c r="F309" t="s">
        <v>13</v>
      </c>
      <c r="G309" t="s">
        <v>46</v>
      </c>
      <c r="H309" t="s">
        <v>71</v>
      </c>
      <c r="I309" t="s">
        <v>16</v>
      </c>
      <c r="J309" t="s">
        <v>51</v>
      </c>
      <c r="K309">
        <v>1</v>
      </c>
      <c r="L309" s="4">
        <v>992.2</v>
      </c>
      <c r="M309">
        <v>47.66</v>
      </c>
    </row>
    <row r="310" spans="1:13" x14ac:dyDescent="0.25">
      <c r="A310">
        <v>10309</v>
      </c>
      <c r="B310" t="str">
        <f t="shared" si="8"/>
        <v>Feb</v>
      </c>
      <c r="C310">
        <f t="shared" si="9"/>
        <v>2</v>
      </c>
      <c r="D310" t="s">
        <v>515</v>
      </c>
      <c r="E310" t="s">
        <v>516</v>
      </c>
      <c r="F310" t="s">
        <v>13</v>
      </c>
      <c r="G310" t="s">
        <v>14</v>
      </c>
      <c r="H310" t="s">
        <v>37</v>
      </c>
      <c r="I310" t="s">
        <v>22</v>
      </c>
      <c r="J310" t="s">
        <v>38</v>
      </c>
      <c r="K310">
        <v>2</v>
      </c>
      <c r="L310" s="4">
        <v>1266.18</v>
      </c>
      <c r="M310">
        <v>357.49</v>
      </c>
    </row>
    <row r="311" spans="1:13" x14ac:dyDescent="0.25">
      <c r="A311">
        <v>10310</v>
      </c>
      <c r="B311" t="str">
        <f t="shared" si="8"/>
        <v>Feb</v>
      </c>
      <c r="C311">
        <f t="shared" si="9"/>
        <v>2</v>
      </c>
      <c r="D311" t="s">
        <v>517</v>
      </c>
      <c r="E311" t="s">
        <v>518</v>
      </c>
      <c r="F311" t="s">
        <v>26</v>
      </c>
      <c r="G311" t="s">
        <v>32</v>
      </c>
      <c r="H311" t="s">
        <v>54</v>
      </c>
      <c r="I311" t="s">
        <v>22</v>
      </c>
      <c r="J311" t="s">
        <v>38</v>
      </c>
      <c r="K311">
        <v>4</v>
      </c>
      <c r="L311" s="4">
        <v>1322.75</v>
      </c>
      <c r="M311">
        <v>62.89</v>
      </c>
    </row>
    <row r="312" spans="1:13" x14ac:dyDescent="0.25">
      <c r="A312">
        <v>10311</v>
      </c>
      <c r="B312" t="str">
        <f t="shared" si="8"/>
        <v>Oct</v>
      </c>
      <c r="C312">
        <f t="shared" si="9"/>
        <v>10</v>
      </c>
      <c r="D312" t="s">
        <v>11</v>
      </c>
      <c r="E312" t="s">
        <v>519</v>
      </c>
      <c r="F312" t="s">
        <v>26</v>
      </c>
      <c r="G312" t="s">
        <v>14</v>
      </c>
      <c r="H312" t="s">
        <v>37</v>
      </c>
      <c r="I312" t="s">
        <v>27</v>
      </c>
      <c r="J312" t="s">
        <v>77</v>
      </c>
      <c r="K312">
        <v>3</v>
      </c>
      <c r="L312" s="4">
        <v>4434.3</v>
      </c>
      <c r="M312">
        <v>730.46</v>
      </c>
    </row>
    <row r="313" spans="1:13" x14ac:dyDescent="0.25">
      <c r="A313">
        <v>10312</v>
      </c>
      <c r="B313" t="str">
        <f t="shared" si="8"/>
        <v>May</v>
      </c>
      <c r="C313">
        <f t="shared" si="9"/>
        <v>5</v>
      </c>
      <c r="D313" t="s">
        <v>520</v>
      </c>
      <c r="E313" t="s">
        <v>521</v>
      </c>
      <c r="F313" t="s">
        <v>26</v>
      </c>
      <c r="G313" t="s">
        <v>20</v>
      </c>
      <c r="H313" t="s">
        <v>21</v>
      </c>
      <c r="I313" t="s">
        <v>22</v>
      </c>
      <c r="J313" t="s">
        <v>34</v>
      </c>
      <c r="K313">
        <v>2</v>
      </c>
      <c r="L313" s="4">
        <v>4016.05</v>
      </c>
      <c r="M313">
        <v>232.34</v>
      </c>
    </row>
    <row r="314" spans="1:13" x14ac:dyDescent="0.25">
      <c r="A314">
        <v>10313</v>
      </c>
      <c r="B314" t="str">
        <f t="shared" si="8"/>
        <v>Nov</v>
      </c>
      <c r="C314">
        <f t="shared" si="9"/>
        <v>11</v>
      </c>
      <c r="D314" t="s">
        <v>522</v>
      </c>
      <c r="E314" t="s">
        <v>523</v>
      </c>
      <c r="F314" t="s">
        <v>31</v>
      </c>
      <c r="G314" t="s">
        <v>32</v>
      </c>
      <c r="H314" t="s">
        <v>33</v>
      </c>
      <c r="I314" t="s">
        <v>27</v>
      </c>
      <c r="J314" t="s">
        <v>104</v>
      </c>
      <c r="K314">
        <v>2</v>
      </c>
      <c r="L314" s="4">
        <v>2780.53</v>
      </c>
      <c r="M314">
        <v>754.03</v>
      </c>
    </row>
    <row r="315" spans="1:13" x14ac:dyDescent="0.25">
      <c r="A315">
        <v>10314</v>
      </c>
      <c r="B315" t="str">
        <f t="shared" si="8"/>
        <v>Apr</v>
      </c>
      <c r="C315">
        <f t="shared" si="9"/>
        <v>4</v>
      </c>
      <c r="D315" t="s">
        <v>393</v>
      </c>
      <c r="E315" t="s">
        <v>524</v>
      </c>
      <c r="F315" t="s">
        <v>13</v>
      </c>
      <c r="G315" t="s">
        <v>14</v>
      </c>
      <c r="H315" t="s">
        <v>37</v>
      </c>
      <c r="I315" t="s">
        <v>16</v>
      </c>
      <c r="J315" t="s">
        <v>43</v>
      </c>
      <c r="K315">
        <v>7</v>
      </c>
      <c r="L315" s="4">
        <v>869.81</v>
      </c>
      <c r="M315">
        <v>44.95</v>
      </c>
    </row>
    <row r="316" spans="1:13" x14ac:dyDescent="0.25">
      <c r="A316">
        <v>10315</v>
      </c>
      <c r="B316" t="str">
        <f t="shared" si="8"/>
        <v>Mar</v>
      </c>
      <c r="C316">
        <f t="shared" si="9"/>
        <v>3</v>
      </c>
      <c r="D316" t="s">
        <v>525</v>
      </c>
      <c r="E316" t="s">
        <v>526</v>
      </c>
      <c r="F316" t="s">
        <v>31</v>
      </c>
      <c r="G316" t="s">
        <v>32</v>
      </c>
      <c r="H316" t="s">
        <v>54</v>
      </c>
      <c r="I316" t="s">
        <v>27</v>
      </c>
      <c r="J316" t="s">
        <v>104</v>
      </c>
      <c r="K316">
        <v>2</v>
      </c>
      <c r="L316" s="4">
        <v>343.21</v>
      </c>
      <c r="M316">
        <v>-17.77</v>
      </c>
    </row>
    <row r="317" spans="1:13" x14ac:dyDescent="0.25">
      <c r="A317">
        <v>10316</v>
      </c>
      <c r="B317" t="str">
        <f t="shared" si="8"/>
        <v>May</v>
      </c>
      <c r="C317">
        <f t="shared" si="9"/>
        <v>5</v>
      </c>
      <c r="D317" t="s">
        <v>527</v>
      </c>
      <c r="E317" t="s">
        <v>528</v>
      </c>
      <c r="F317" t="s">
        <v>31</v>
      </c>
      <c r="G317" t="s">
        <v>14</v>
      </c>
      <c r="H317" t="s">
        <v>37</v>
      </c>
      <c r="I317" t="s">
        <v>22</v>
      </c>
      <c r="J317" t="s">
        <v>38</v>
      </c>
      <c r="K317">
        <v>8</v>
      </c>
      <c r="L317" s="4">
        <v>1078.4100000000001</v>
      </c>
      <c r="M317">
        <v>43.78</v>
      </c>
    </row>
    <row r="318" spans="1:13" x14ac:dyDescent="0.25">
      <c r="A318">
        <v>10317</v>
      </c>
      <c r="B318" t="str">
        <f t="shared" si="8"/>
        <v>Jul</v>
      </c>
      <c r="C318">
        <f t="shared" si="9"/>
        <v>7</v>
      </c>
      <c r="D318" t="s">
        <v>529</v>
      </c>
      <c r="E318" t="s">
        <v>530</v>
      </c>
      <c r="F318" t="s">
        <v>31</v>
      </c>
      <c r="G318" t="s">
        <v>14</v>
      </c>
      <c r="H318" t="s">
        <v>37</v>
      </c>
      <c r="I318" t="s">
        <v>27</v>
      </c>
      <c r="J318" t="s">
        <v>77</v>
      </c>
      <c r="K318">
        <v>8</v>
      </c>
      <c r="L318" s="4">
        <v>4484.8999999999996</v>
      </c>
      <c r="M318">
        <v>457.19</v>
      </c>
    </row>
    <row r="319" spans="1:13" x14ac:dyDescent="0.25">
      <c r="A319">
        <v>10318</v>
      </c>
      <c r="B319" t="str">
        <f t="shared" si="8"/>
        <v>May</v>
      </c>
      <c r="C319">
        <f t="shared" si="9"/>
        <v>5</v>
      </c>
      <c r="D319" t="s">
        <v>531</v>
      </c>
      <c r="E319" t="s">
        <v>532</v>
      </c>
      <c r="F319" t="s">
        <v>26</v>
      </c>
      <c r="G319" t="s">
        <v>20</v>
      </c>
      <c r="H319" t="s">
        <v>76</v>
      </c>
      <c r="I319" t="s">
        <v>22</v>
      </c>
      <c r="J319" t="s">
        <v>34</v>
      </c>
      <c r="K319">
        <v>1</v>
      </c>
      <c r="L319" s="4">
        <v>1390.15</v>
      </c>
      <c r="M319">
        <v>208.51</v>
      </c>
    </row>
    <row r="320" spans="1:13" x14ac:dyDescent="0.25">
      <c r="A320">
        <v>10319</v>
      </c>
      <c r="B320" t="str">
        <f t="shared" si="8"/>
        <v>Jul</v>
      </c>
      <c r="C320">
        <f t="shared" si="9"/>
        <v>7</v>
      </c>
      <c r="D320" t="s">
        <v>529</v>
      </c>
      <c r="E320" t="s">
        <v>533</v>
      </c>
      <c r="F320" t="s">
        <v>13</v>
      </c>
      <c r="G320" t="s">
        <v>46</v>
      </c>
      <c r="H320" t="s">
        <v>71</v>
      </c>
      <c r="I320" t="s">
        <v>22</v>
      </c>
      <c r="J320" t="s">
        <v>38</v>
      </c>
      <c r="K320">
        <v>7</v>
      </c>
      <c r="L320" s="4">
        <v>4856.46</v>
      </c>
      <c r="M320">
        <v>903.46</v>
      </c>
    </row>
    <row r="321" spans="1:13" x14ac:dyDescent="0.25">
      <c r="A321">
        <v>10320</v>
      </c>
      <c r="B321" t="str">
        <f t="shared" si="8"/>
        <v>Jan</v>
      </c>
      <c r="C321">
        <f t="shared" si="9"/>
        <v>1</v>
      </c>
      <c r="D321" t="s">
        <v>534</v>
      </c>
      <c r="E321" t="s">
        <v>535</v>
      </c>
      <c r="F321" t="s">
        <v>13</v>
      </c>
      <c r="G321" t="s">
        <v>20</v>
      </c>
      <c r="H321" t="s">
        <v>76</v>
      </c>
      <c r="I321" t="s">
        <v>16</v>
      </c>
      <c r="J321" t="s">
        <v>43</v>
      </c>
      <c r="K321">
        <v>8</v>
      </c>
      <c r="L321" s="4">
        <v>1564.38</v>
      </c>
      <c r="M321">
        <v>147.22999999999999</v>
      </c>
    </row>
    <row r="322" spans="1:13" x14ac:dyDescent="0.25">
      <c r="A322">
        <v>10321</v>
      </c>
      <c r="B322" t="str">
        <f t="shared" ref="B322:B385" si="10">TEXT(D322,"mmm")</f>
        <v>Aug</v>
      </c>
      <c r="C322">
        <f t="shared" ref="C322:C385" si="11">MONTH(D322)</f>
        <v>8</v>
      </c>
      <c r="D322" t="s">
        <v>536</v>
      </c>
      <c r="E322" t="s">
        <v>537</v>
      </c>
      <c r="F322" t="s">
        <v>13</v>
      </c>
      <c r="G322" t="s">
        <v>46</v>
      </c>
      <c r="H322" t="s">
        <v>71</v>
      </c>
      <c r="I322" t="s">
        <v>27</v>
      </c>
      <c r="J322" t="s">
        <v>104</v>
      </c>
      <c r="K322">
        <v>3</v>
      </c>
      <c r="L322" s="4">
        <v>4863.6099999999997</v>
      </c>
      <c r="M322">
        <v>1213.57</v>
      </c>
    </row>
    <row r="323" spans="1:13" x14ac:dyDescent="0.25">
      <c r="A323">
        <v>10322</v>
      </c>
      <c r="B323" t="str">
        <f t="shared" si="10"/>
        <v>Feb</v>
      </c>
      <c r="C323">
        <f t="shared" si="11"/>
        <v>2</v>
      </c>
      <c r="D323" t="s">
        <v>538</v>
      </c>
      <c r="E323" t="s">
        <v>444</v>
      </c>
      <c r="F323" t="s">
        <v>13</v>
      </c>
      <c r="G323" t="s">
        <v>20</v>
      </c>
      <c r="H323" t="s">
        <v>21</v>
      </c>
      <c r="I323" t="s">
        <v>16</v>
      </c>
      <c r="J323" t="s">
        <v>43</v>
      </c>
      <c r="K323">
        <v>5</v>
      </c>
      <c r="L323" s="4">
        <v>1666.77</v>
      </c>
      <c r="M323">
        <v>305.58</v>
      </c>
    </row>
    <row r="324" spans="1:13" x14ac:dyDescent="0.25">
      <c r="A324">
        <v>10323</v>
      </c>
      <c r="B324" t="str">
        <f t="shared" si="10"/>
        <v>Aug</v>
      </c>
      <c r="C324">
        <f t="shared" si="11"/>
        <v>8</v>
      </c>
      <c r="D324" t="s">
        <v>138</v>
      </c>
      <c r="E324" t="s">
        <v>539</v>
      </c>
      <c r="F324" t="s">
        <v>31</v>
      </c>
      <c r="G324" t="s">
        <v>20</v>
      </c>
      <c r="H324" t="s">
        <v>76</v>
      </c>
      <c r="I324" t="s">
        <v>27</v>
      </c>
      <c r="J324" t="s">
        <v>77</v>
      </c>
      <c r="K324">
        <v>1</v>
      </c>
      <c r="L324" s="4">
        <v>3954.1</v>
      </c>
      <c r="M324">
        <v>761.36</v>
      </c>
    </row>
    <row r="325" spans="1:13" x14ac:dyDescent="0.25">
      <c r="A325">
        <v>10324</v>
      </c>
      <c r="B325" t="str">
        <f t="shared" si="10"/>
        <v>Oct</v>
      </c>
      <c r="C325">
        <f t="shared" si="11"/>
        <v>10</v>
      </c>
      <c r="D325" t="s">
        <v>110</v>
      </c>
      <c r="E325" t="s">
        <v>540</v>
      </c>
      <c r="F325" t="s">
        <v>31</v>
      </c>
      <c r="G325" t="s">
        <v>46</v>
      </c>
      <c r="H325" t="s">
        <v>71</v>
      </c>
      <c r="I325" t="s">
        <v>16</v>
      </c>
      <c r="J325" t="s">
        <v>81</v>
      </c>
      <c r="K325">
        <v>2</v>
      </c>
      <c r="L325" s="4">
        <v>2857.15</v>
      </c>
      <c r="M325">
        <v>186.38</v>
      </c>
    </row>
    <row r="326" spans="1:13" x14ac:dyDescent="0.25">
      <c r="A326">
        <v>10325</v>
      </c>
      <c r="B326" t="str">
        <f t="shared" si="10"/>
        <v>Nov</v>
      </c>
      <c r="C326">
        <f t="shared" si="11"/>
        <v>11</v>
      </c>
      <c r="D326" t="s">
        <v>294</v>
      </c>
      <c r="E326" t="s">
        <v>541</v>
      </c>
      <c r="F326" t="s">
        <v>13</v>
      </c>
      <c r="G326" t="s">
        <v>32</v>
      </c>
      <c r="H326" t="s">
        <v>54</v>
      </c>
      <c r="I326" t="s">
        <v>16</v>
      </c>
      <c r="J326" t="s">
        <v>51</v>
      </c>
      <c r="K326">
        <v>8</v>
      </c>
      <c r="L326" s="4">
        <v>283.58</v>
      </c>
      <c r="M326">
        <v>19.32</v>
      </c>
    </row>
    <row r="327" spans="1:13" x14ac:dyDescent="0.25">
      <c r="A327">
        <v>10326</v>
      </c>
      <c r="B327" t="str">
        <f t="shared" si="10"/>
        <v>Jul</v>
      </c>
      <c r="C327">
        <f t="shared" si="11"/>
        <v>7</v>
      </c>
      <c r="D327" t="s">
        <v>542</v>
      </c>
      <c r="E327" t="s">
        <v>543</v>
      </c>
      <c r="F327" t="s">
        <v>31</v>
      </c>
      <c r="G327" t="s">
        <v>20</v>
      </c>
      <c r="H327" t="s">
        <v>21</v>
      </c>
      <c r="I327" t="s">
        <v>27</v>
      </c>
      <c r="J327" t="s">
        <v>28</v>
      </c>
      <c r="K327">
        <v>4</v>
      </c>
      <c r="L327" s="4">
        <v>341.53</v>
      </c>
      <c r="M327">
        <v>30.79</v>
      </c>
    </row>
    <row r="328" spans="1:13" x14ac:dyDescent="0.25">
      <c r="A328">
        <v>10327</v>
      </c>
      <c r="B328" t="str">
        <f t="shared" si="10"/>
        <v>Aug</v>
      </c>
      <c r="C328">
        <f t="shared" si="11"/>
        <v>8</v>
      </c>
      <c r="D328" t="s">
        <v>191</v>
      </c>
      <c r="E328" t="s">
        <v>544</v>
      </c>
      <c r="F328" t="s">
        <v>31</v>
      </c>
      <c r="G328" t="s">
        <v>32</v>
      </c>
      <c r="H328" t="s">
        <v>54</v>
      </c>
      <c r="I328" t="s">
        <v>27</v>
      </c>
      <c r="J328" t="s">
        <v>77</v>
      </c>
      <c r="K328">
        <v>2</v>
      </c>
      <c r="L328" s="4">
        <v>4865.2299999999996</v>
      </c>
      <c r="M328">
        <v>490.48</v>
      </c>
    </row>
    <row r="329" spans="1:13" x14ac:dyDescent="0.25">
      <c r="A329">
        <v>10328</v>
      </c>
      <c r="B329" t="str">
        <f t="shared" si="10"/>
        <v>Sep</v>
      </c>
      <c r="C329">
        <f t="shared" si="11"/>
        <v>9</v>
      </c>
      <c r="D329" t="s">
        <v>281</v>
      </c>
      <c r="E329" t="s">
        <v>545</v>
      </c>
      <c r="F329" t="s">
        <v>13</v>
      </c>
      <c r="G329" t="s">
        <v>32</v>
      </c>
      <c r="H329" t="s">
        <v>54</v>
      </c>
      <c r="I329" t="s">
        <v>16</v>
      </c>
      <c r="J329" t="s">
        <v>81</v>
      </c>
      <c r="K329">
        <v>4</v>
      </c>
      <c r="L329" s="4">
        <v>2264.41</v>
      </c>
      <c r="M329">
        <v>589.6</v>
      </c>
    </row>
    <row r="330" spans="1:13" x14ac:dyDescent="0.25">
      <c r="A330">
        <v>10329</v>
      </c>
      <c r="B330" t="str">
        <f t="shared" si="10"/>
        <v>Sep</v>
      </c>
      <c r="C330">
        <f t="shared" si="11"/>
        <v>9</v>
      </c>
      <c r="D330" t="s">
        <v>165</v>
      </c>
      <c r="E330" t="s">
        <v>546</v>
      </c>
      <c r="F330" t="s">
        <v>26</v>
      </c>
      <c r="G330" t="s">
        <v>32</v>
      </c>
      <c r="H330" t="s">
        <v>33</v>
      </c>
      <c r="I330" t="s">
        <v>16</v>
      </c>
      <c r="J330" t="s">
        <v>43</v>
      </c>
      <c r="K330">
        <v>2</v>
      </c>
      <c r="L330" s="4">
        <v>1624.5</v>
      </c>
      <c r="M330">
        <v>273.48</v>
      </c>
    </row>
    <row r="331" spans="1:13" x14ac:dyDescent="0.25">
      <c r="A331">
        <v>10330</v>
      </c>
      <c r="B331" t="str">
        <f t="shared" si="10"/>
        <v>Apr</v>
      </c>
      <c r="C331">
        <f t="shared" si="11"/>
        <v>4</v>
      </c>
      <c r="D331" t="s">
        <v>547</v>
      </c>
      <c r="E331" t="s">
        <v>548</v>
      </c>
      <c r="F331" t="s">
        <v>31</v>
      </c>
      <c r="G331" t="s">
        <v>46</v>
      </c>
      <c r="H331" t="s">
        <v>71</v>
      </c>
      <c r="I331" t="s">
        <v>22</v>
      </c>
      <c r="J331" t="s">
        <v>23</v>
      </c>
      <c r="K331">
        <v>4</v>
      </c>
      <c r="L331" s="4">
        <v>262.05</v>
      </c>
      <c r="M331">
        <v>-19.62</v>
      </c>
    </row>
    <row r="332" spans="1:13" x14ac:dyDescent="0.25">
      <c r="A332">
        <v>10331</v>
      </c>
      <c r="B332" t="str">
        <f t="shared" si="10"/>
        <v>Aug</v>
      </c>
      <c r="C332">
        <f t="shared" si="11"/>
        <v>8</v>
      </c>
      <c r="D332" t="s">
        <v>203</v>
      </c>
      <c r="E332" t="s">
        <v>549</v>
      </c>
      <c r="F332" t="s">
        <v>13</v>
      </c>
      <c r="G332" t="s">
        <v>20</v>
      </c>
      <c r="H332" t="s">
        <v>76</v>
      </c>
      <c r="I332" t="s">
        <v>16</v>
      </c>
      <c r="J332" t="s">
        <v>81</v>
      </c>
      <c r="K332">
        <v>1</v>
      </c>
      <c r="L332" s="4">
        <v>1285.5</v>
      </c>
      <c r="M332">
        <v>176.75</v>
      </c>
    </row>
    <row r="333" spans="1:13" x14ac:dyDescent="0.25">
      <c r="A333">
        <v>10332</v>
      </c>
      <c r="B333" t="str">
        <f t="shared" si="10"/>
        <v>Oct</v>
      </c>
      <c r="C333">
        <f t="shared" si="11"/>
        <v>10</v>
      </c>
      <c r="D333" t="s">
        <v>298</v>
      </c>
      <c r="E333" t="s">
        <v>550</v>
      </c>
      <c r="F333" t="s">
        <v>26</v>
      </c>
      <c r="G333" t="s">
        <v>32</v>
      </c>
      <c r="H333" t="s">
        <v>54</v>
      </c>
      <c r="I333" t="s">
        <v>22</v>
      </c>
      <c r="J333" t="s">
        <v>38</v>
      </c>
      <c r="K333">
        <v>2</v>
      </c>
      <c r="L333" s="4">
        <v>1496.84</v>
      </c>
      <c r="M333">
        <v>203.21</v>
      </c>
    </row>
    <row r="334" spans="1:13" x14ac:dyDescent="0.25">
      <c r="A334">
        <v>10333</v>
      </c>
      <c r="B334" t="str">
        <f t="shared" si="10"/>
        <v>Dec</v>
      </c>
      <c r="C334">
        <f t="shared" si="11"/>
        <v>12</v>
      </c>
      <c r="D334" t="s">
        <v>213</v>
      </c>
      <c r="E334" t="s">
        <v>91</v>
      </c>
      <c r="F334" t="s">
        <v>31</v>
      </c>
      <c r="G334" t="s">
        <v>46</v>
      </c>
      <c r="H334" t="s">
        <v>71</v>
      </c>
      <c r="I334" t="s">
        <v>16</v>
      </c>
      <c r="J334" t="s">
        <v>43</v>
      </c>
      <c r="K334">
        <v>5</v>
      </c>
      <c r="L334" s="4">
        <v>3292.78</v>
      </c>
      <c r="M334">
        <v>500.71</v>
      </c>
    </row>
    <row r="335" spans="1:13" x14ac:dyDescent="0.25">
      <c r="A335">
        <v>10334</v>
      </c>
      <c r="B335" t="str">
        <f t="shared" si="10"/>
        <v>Dec</v>
      </c>
      <c r="C335">
        <f t="shared" si="11"/>
        <v>12</v>
      </c>
      <c r="D335" t="s">
        <v>326</v>
      </c>
      <c r="E335" t="s">
        <v>551</v>
      </c>
      <c r="F335" t="s">
        <v>31</v>
      </c>
      <c r="G335" t="s">
        <v>46</v>
      </c>
      <c r="H335" t="s">
        <v>71</v>
      </c>
      <c r="I335" t="s">
        <v>16</v>
      </c>
      <c r="J335" t="s">
        <v>81</v>
      </c>
      <c r="K335">
        <v>4</v>
      </c>
      <c r="L335" s="4">
        <v>1336.71</v>
      </c>
      <c r="M335">
        <v>305.33</v>
      </c>
    </row>
    <row r="336" spans="1:13" x14ac:dyDescent="0.25">
      <c r="A336">
        <v>10335</v>
      </c>
      <c r="B336" t="str">
        <f t="shared" si="10"/>
        <v>Nov</v>
      </c>
      <c r="C336">
        <f t="shared" si="11"/>
        <v>11</v>
      </c>
      <c r="D336" t="s">
        <v>552</v>
      </c>
      <c r="E336" t="s">
        <v>553</v>
      </c>
      <c r="F336" t="s">
        <v>13</v>
      </c>
      <c r="G336" t="s">
        <v>20</v>
      </c>
      <c r="H336" t="s">
        <v>76</v>
      </c>
      <c r="I336" t="s">
        <v>27</v>
      </c>
      <c r="J336" t="s">
        <v>77</v>
      </c>
      <c r="K336">
        <v>5</v>
      </c>
      <c r="L336" s="4">
        <v>1169.22</v>
      </c>
      <c r="M336">
        <v>94.72</v>
      </c>
    </row>
    <row r="337" spans="1:13" x14ac:dyDescent="0.25">
      <c r="A337">
        <v>10336</v>
      </c>
      <c r="B337" t="str">
        <f t="shared" si="10"/>
        <v>May</v>
      </c>
      <c r="C337">
        <f t="shared" si="11"/>
        <v>5</v>
      </c>
      <c r="D337" t="s">
        <v>554</v>
      </c>
      <c r="E337" t="s">
        <v>325</v>
      </c>
      <c r="F337" t="s">
        <v>31</v>
      </c>
      <c r="G337" t="s">
        <v>14</v>
      </c>
      <c r="H337" t="s">
        <v>15</v>
      </c>
      <c r="I337" t="s">
        <v>16</v>
      </c>
      <c r="J337" t="s">
        <v>17</v>
      </c>
      <c r="K337">
        <v>5</v>
      </c>
      <c r="L337" s="4">
        <v>1562.53</v>
      </c>
      <c r="M337">
        <v>113.97</v>
      </c>
    </row>
    <row r="338" spans="1:13" x14ac:dyDescent="0.25">
      <c r="A338">
        <v>10337</v>
      </c>
      <c r="B338" t="str">
        <f t="shared" si="10"/>
        <v>Nov</v>
      </c>
      <c r="C338">
        <f t="shared" si="11"/>
        <v>11</v>
      </c>
      <c r="D338" t="s">
        <v>555</v>
      </c>
      <c r="E338" t="s">
        <v>556</v>
      </c>
      <c r="F338" t="s">
        <v>13</v>
      </c>
      <c r="G338" t="s">
        <v>32</v>
      </c>
      <c r="H338" t="s">
        <v>54</v>
      </c>
      <c r="I338" t="s">
        <v>16</v>
      </c>
      <c r="J338" t="s">
        <v>17</v>
      </c>
      <c r="K338">
        <v>4</v>
      </c>
      <c r="L338" s="4">
        <v>834.65</v>
      </c>
      <c r="M338">
        <v>111.49</v>
      </c>
    </row>
    <row r="339" spans="1:13" x14ac:dyDescent="0.25">
      <c r="A339">
        <v>10338</v>
      </c>
      <c r="B339" t="str">
        <f t="shared" si="10"/>
        <v>Jul</v>
      </c>
      <c r="C339">
        <f t="shared" si="11"/>
        <v>7</v>
      </c>
      <c r="D339" t="s">
        <v>529</v>
      </c>
      <c r="E339" t="s">
        <v>557</v>
      </c>
      <c r="F339" t="s">
        <v>26</v>
      </c>
      <c r="G339" t="s">
        <v>32</v>
      </c>
      <c r="H339" t="s">
        <v>33</v>
      </c>
      <c r="I339" t="s">
        <v>16</v>
      </c>
      <c r="J339" t="s">
        <v>81</v>
      </c>
      <c r="K339">
        <v>8</v>
      </c>
      <c r="L339" s="4">
        <v>4987.6000000000004</v>
      </c>
      <c r="M339">
        <v>531</v>
      </c>
    </row>
    <row r="340" spans="1:13" x14ac:dyDescent="0.25">
      <c r="A340">
        <v>10339</v>
      </c>
      <c r="B340" t="str">
        <f t="shared" si="10"/>
        <v>Mar</v>
      </c>
      <c r="C340">
        <f t="shared" si="11"/>
        <v>3</v>
      </c>
      <c r="D340" t="s">
        <v>558</v>
      </c>
      <c r="E340" t="s">
        <v>559</v>
      </c>
      <c r="F340" t="s">
        <v>13</v>
      </c>
      <c r="G340" t="s">
        <v>46</v>
      </c>
      <c r="H340" t="s">
        <v>47</v>
      </c>
      <c r="I340" t="s">
        <v>16</v>
      </c>
      <c r="J340" t="s">
        <v>43</v>
      </c>
      <c r="K340">
        <v>8</v>
      </c>
      <c r="L340" s="4">
        <v>4541.9799999999996</v>
      </c>
      <c r="M340">
        <v>939.27</v>
      </c>
    </row>
    <row r="341" spans="1:13" x14ac:dyDescent="0.25">
      <c r="A341">
        <v>10340</v>
      </c>
      <c r="B341" t="str">
        <f t="shared" si="10"/>
        <v>Apr</v>
      </c>
      <c r="C341">
        <f t="shared" si="11"/>
        <v>4</v>
      </c>
      <c r="D341" t="s">
        <v>560</v>
      </c>
      <c r="E341" t="s">
        <v>561</v>
      </c>
      <c r="F341" t="s">
        <v>31</v>
      </c>
      <c r="G341" t="s">
        <v>46</v>
      </c>
      <c r="H341" t="s">
        <v>47</v>
      </c>
      <c r="I341" t="s">
        <v>22</v>
      </c>
      <c r="J341" t="s">
        <v>34</v>
      </c>
      <c r="K341">
        <v>3</v>
      </c>
      <c r="L341" s="4">
        <v>3730.5</v>
      </c>
      <c r="M341">
        <v>806.95</v>
      </c>
    </row>
    <row r="342" spans="1:13" x14ac:dyDescent="0.25">
      <c r="A342">
        <v>10341</v>
      </c>
      <c r="B342" t="str">
        <f t="shared" si="10"/>
        <v>Oct</v>
      </c>
      <c r="C342">
        <f t="shared" si="11"/>
        <v>10</v>
      </c>
      <c r="D342" t="s">
        <v>562</v>
      </c>
      <c r="E342" t="s">
        <v>513</v>
      </c>
      <c r="F342" t="s">
        <v>31</v>
      </c>
      <c r="G342" t="s">
        <v>14</v>
      </c>
      <c r="H342" t="s">
        <v>15</v>
      </c>
      <c r="I342" t="s">
        <v>27</v>
      </c>
      <c r="J342" t="s">
        <v>104</v>
      </c>
      <c r="K342">
        <v>5</v>
      </c>
      <c r="L342" s="4">
        <v>2160.3200000000002</v>
      </c>
      <c r="M342">
        <v>549.80999999999995</v>
      </c>
    </row>
    <row r="343" spans="1:13" x14ac:dyDescent="0.25">
      <c r="A343">
        <v>10342</v>
      </c>
      <c r="B343" t="str">
        <f t="shared" si="10"/>
        <v>Jul</v>
      </c>
      <c r="C343">
        <f t="shared" si="11"/>
        <v>7</v>
      </c>
      <c r="D343" t="s">
        <v>563</v>
      </c>
      <c r="E343" t="s">
        <v>506</v>
      </c>
      <c r="F343" t="s">
        <v>31</v>
      </c>
      <c r="G343" t="s">
        <v>14</v>
      </c>
      <c r="H343" t="s">
        <v>37</v>
      </c>
      <c r="I343" t="s">
        <v>22</v>
      </c>
      <c r="J343" t="s">
        <v>23</v>
      </c>
      <c r="K343">
        <v>8</v>
      </c>
      <c r="L343" s="4">
        <v>4458.1899999999996</v>
      </c>
      <c r="M343">
        <v>693.97</v>
      </c>
    </row>
    <row r="344" spans="1:13" x14ac:dyDescent="0.25">
      <c r="A344">
        <v>10343</v>
      </c>
      <c r="B344" t="str">
        <f t="shared" si="10"/>
        <v>Aug</v>
      </c>
      <c r="C344">
        <f t="shared" si="11"/>
        <v>8</v>
      </c>
      <c r="D344" t="s">
        <v>296</v>
      </c>
      <c r="E344" t="s">
        <v>564</v>
      </c>
      <c r="F344" t="s">
        <v>31</v>
      </c>
      <c r="G344" t="s">
        <v>20</v>
      </c>
      <c r="H344" t="s">
        <v>21</v>
      </c>
      <c r="I344" t="s">
        <v>22</v>
      </c>
      <c r="J344" t="s">
        <v>48</v>
      </c>
      <c r="K344">
        <v>4</v>
      </c>
      <c r="L344" s="4">
        <v>1779.08</v>
      </c>
      <c r="M344">
        <v>438.74</v>
      </c>
    </row>
    <row r="345" spans="1:13" x14ac:dyDescent="0.25">
      <c r="A345">
        <v>10344</v>
      </c>
      <c r="B345" t="str">
        <f t="shared" si="10"/>
        <v>Apr</v>
      </c>
      <c r="C345">
        <f t="shared" si="11"/>
        <v>4</v>
      </c>
      <c r="D345" t="s">
        <v>565</v>
      </c>
      <c r="E345" t="s">
        <v>566</v>
      </c>
      <c r="F345" t="s">
        <v>26</v>
      </c>
      <c r="G345" t="s">
        <v>46</v>
      </c>
      <c r="H345" t="s">
        <v>71</v>
      </c>
      <c r="I345" t="s">
        <v>27</v>
      </c>
      <c r="J345" t="s">
        <v>28</v>
      </c>
      <c r="K345">
        <v>3</v>
      </c>
      <c r="L345" s="4">
        <v>1635.73</v>
      </c>
      <c r="M345">
        <v>60.3</v>
      </c>
    </row>
    <row r="346" spans="1:13" x14ac:dyDescent="0.25">
      <c r="A346">
        <v>10345</v>
      </c>
      <c r="B346" t="str">
        <f t="shared" si="10"/>
        <v>Jul</v>
      </c>
      <c r="C346">
        <f t="shared" si="11"/>
        <v>7</v>
      </c>
      <c r="D346" t="s">
        <v>567</v>
      </c>
      <c r="E346" t="s">
        <v>568</v>
      </c>
      <c r="F346" t="s">
        <v>26</v>
      </c>
      <c r="G346" t="s">
        <v>46</v>
      </c>
      <c r="H346" t="s">
        <v>47</v>
      </c>
      <c r="I346" t="s">
        <v>22</v>
      </c>
      <c r="J346" t="s">
        <v>48</v>
      </c>
      <c r="K346">
        <v>7</v>
      </c>
      <c r="L346" s="4">
        <v>3204.09</v>
      </c>
      <c r="M346">
        <v>386.8</v>
      </c>
    </row>
    <row r="347" spans="1:13" x14ac:dyDescent="0.25">
      <c r="A347">
        <v>10346</v>
      </c>
      <c r="B347" t="str">
        <f t="shared" si="10"/>
        <v>Apr</v>
      </c>
      <c r="C347">
        <f t="shared" si="11"/>
        <v>4</v>
      </c>
      <c r="D347" t="s">
        <v>225</v>
      </c>
      <c r="E347" t="s">
        <v>188</v>
      </c>
      <c r="F347" t="s">
        <v>31</v>
      </c>
      <c r="G347" t="s">
        <v>46</v>
      </c>
      <c r="H347" t="s">
        <v>47</v>
      </c>
      <c r="I347" t="s">
        <v>22</v>
      </c>
      <c r="J347" t="s">
        <v>38</v>
      </c>
      <c r="K347">
        <v>4</v>
      </c>
      <c r="L347" s="4">
        <v>187.79</v>
      </c>
      <c r="M347">
        <v>-63.78</v>
      </c>
    </row>
    <row r="348" spans="1:13" x14ac:dyDescent="0.25">
      <c r="A348">
        <v>10347</v>
      </c>
      <c r="B348" t="str">
        <f t="shared" si="10"/>
        <v>May</v>
      </c>
      <c r="C348">
        <f t="shared" si="11"/>
        <v>5</v>
      </c>
      <c r="D348" t="s">
        <v>569</v>
      </c>
      <c r="E348" t="s">
        <v>570</v>
      </c>
      <c r="F348" t="s">
        <v>13</v>
      </c>
      <c r="G348" t="s">
        <v>32</v>
      </c>
      <c r="H348" t="s">
        <v>33</v>
      </c>
      <c r="I348" t="s">
        <v>22</v>
      </c>
      <c r="J348" t="s">
        <v>34</v>
      </c>
      <c r="K348">
        <v>5</v>
      </c>
      <c r="L348" s="4">
        <v>918.4</v>
      </c>
      <c r="M348">
        <v>205.25</v>
      </c>
    </row>
    <row r="349" spans="1:13" x14ac:dyDescent="0.25">
      <c r="A349">
        <v>10348</v>
      </c>
      <c r="B349" t="str">
        <f t="shared" si="10"/>
        <v>Mar</v>
      </c>
      <c r="C349">
        <f t="shared" si="11"/>
        <v>3</v>
      </c>
      <c r="D349" t="s">
        <v>179</v>
      </c>
      <c r="E349" t="s">
        <v>571</v>
      </c>
      <c r="F349" t="s">
        <v>31</v>
      </c>
      <c r="G349" t="s">
        <v>32</v>
      </c>
      <c r="H349" t="s">
        <v>54</v>
      </c>
      <c r="I349" t="s">
        <v>16</v>
      </c>
      <c r="J349" t="s">
        <v>43</v>
      </c>
      <c r="K349">
        <v>6</v>
      </c>
      <c r="L349" s="4">
        <v>4981.08</v>
      </c>
      <c r="M349">
        <v>784.45</v>
      </c>
    </row>
    <row r="350" spans="1:13" x14ac:dyDescent="0.25">
      <c r="A350">
        <v>10349</v>
      </c>
      <c r="B350" t="str">
        <f t="shared" si="10"/>
        <v>Jul</v>
      </c>
      <c r="C350">
        <f t="shared" si="11"/>
        <v>7</v>
      </c>
      <c r="D350" t="s">
        <v>313</v>
      </c>
      <c r="E350" t="s">
        <v>320</v>
      </c>
      <c r="F350" t="s">
        <v>13</v>
      </c>
      <c r="G350" t="s">
        <v>14</v>
      </c>
      <c r="H350" t="s">
        <v>15</v>
      </c>
      <c r="I350" t="s">
        <v>22</v>
      </c>
      <c r="J350" t="s">
        <v>48</v>
      </c>
      <c r="K350">
        <v>4</v>
      </c>
      <c r="L350" s="4">
        <v>3696.98</v>
      </c>
      <c r="M350">
        <v>712.97</v>
      </c>
    </row>
    <row r="351" spans="1:13" x14ac:dyDescent="0.25">
      <c r="A351">
        <v>10350</v>
      </c>
      <c r="B351" t="str">
        <f t="shared" si="10"/>
        <v>Jan</v>
      </c>
      <c r="C351">
        <f t="shared" si="11"/>
        <v>1</v>
      </c>
      <c r="D351" t="s">
        <v>136</v>
      </c>
      <c r="E351" t="s">
        <v>572</v>
      </c>
      <c r="F351" t="s">
        <v>13</v>
      </c>
      <c r="G351" t="s">
        <v>14</v>
      </c>
      <c r="H351" t="s">
        <v>37</v>
      </c>
      <c r="I351" t="s">
        <v>16</v>
      </c>
      <c r="J351" t="s">
        <v>17</v>
      </c>
      <c r="K351">
        <v>1</v>
      </c>
      <c r="L351" s="4">
        <v>3010.23</v>
      </c>
      <c r="M351">
        <v>175.79</v>
      </c>
    </row>
    <row r="352" spans="1:13" x14ac:dyDescent="0.25">
      <c r="A352">
        <v>10351</v>
      </c>
      <c r="B352" t="str">
        <f t="shared" si="10"/>
        <v>Dec</v>
      </c>
      <c r="C352">
        <f t="shared" si="11"/>
        <v>12</v>
      </c>
      <c r="D352" t="s">
        <v>573</v>
      </c>
      <c r="E352" t="s">
        <v>574</v>
      </c>
      <c r="F352" t="s">
        <v>13</v>
      </c>
      <c r="G352" t="s">
        <v>14</v>
      </c>
      <c r="H352" t="s">
        <v>37</v>
      </c>
      <c r="I352" t="s">
        <v>27</v>
      </c>
      <c r="J352" t="s">
        <v>77</v>
      </c>
      <c r="K352">
        <v>2</v>
      </c>
      <c r="L352" s="4">
        <v>2781.68</v>
      </c>
      <c r="M352">
        <v>453.68</v>
      </c>
    </row>
    <row r="353" spans="1:13" x14ac:dyDescent="0.25">
      <c r="A353">
        <v>10352</v>
      </c>
      <c r="B353" t="str">
        <f t="shared" si="10"/>
        <v>Feb</v>
      </c>
      <c r="C353">
        <f t="shared" si="11"/>
        <v>2</v>
      </c>
      <c r="D353" t="s">
        <v>94</v>
      </c>
      <c r="E353" t="s">
        <v>575</v>
      </c>
      <c r="F353" t="s">
        <v>13</v>
      </c>
      <c r="G353" t="s">
        <v>14</v>
      </c>
      <c r="H353" t="s">
        <v>37</v>
      </c>
      <c r="I353" t="s">
        <v>27</v>
      </c>
      <c r="J353" t="s">
        <v>118</v>
      </c>
      <c r="K353">
        <v>5</v>
      </c>
      <c r="L353" s="4">
        <v>3151.71</v>
      </c>
      <c r="M353">
        <v>667.82</v>
      </c>
    </row>
    <row r="354" spans="1:13" x14ac:dyDescent="0.25">
      <c r="A354">
        <v>10353</v>
      </c>
      <c r="B354" t="str">
        <f t="shared" si="10"/>
        <v>Sep</v>
      </c>
      <c r="C354">
        <f t="shared" si="11"/>
        <v>9</v>
      </c>
      <c r="D354" t="s">
        <v>88</v>
      </c>
      <c r="E354" t="s">
        <v>576</v>
      </c>
      <c r="F354" t="s">
        <v>31</v>
      </c>
      <c r="G354" t="s">
        <v>14</v>
      </c>
      <c r="H354" t="s">
        <v>37</v>
      </c>
      <c r="I354" t="s">
        <v>22</v>
      </c>
      <c r="J354" t="s">
        <v>23</v>
      </c>
      <c r="K354">
        <v>8</v>
      </c>
      <c r="L354" s="4">
        <v>1073.3699999999999</v>
      </c>
      <c r="M354">
        <v>80.97</v>
      </c>
    </row>
    <row r="355" spans="1:13" x14ac:dyDescent="0.25">
      <c r="A355">
        <v>10354</v>
      </c>
      <c r="B355" t="str">
        <f t="shared" si="10"/>
        <v>May</v>
      </c>
      <c r="C355">
        <f t="shared" si="11"/>
        <v>5</v>
      </c>
      <c r="D355" t="s">
        <v>577</v>
      </c>
      <c r="E355" t="s">
        <v>578</v>
      </c>
      <c r="F355" t="s">
        <v>26</v>
      </c>
      <c r="G355" t="s">
        <v>20</v>
      </c>
      <c r="H355" t="s">
        <v>76</v>
      </c>
      <c r="I355" t="s">
        <v>22</v>
      </c>
      <c r="J355" t="s">
        <v>23</v>
      </c>
      <c r="K355">
        <v>8</v>
      </c>
      <c r="L355" s="4">
        <v>4560.75</v>
      </c>
      <c r="M355">
        <v>964.65</v>
      </c>
    </row>
    <row r="356" spans="1:13" x14ac:dyDescent="0.25">
      <c r="A356">
        <v>10355</v>
      </c>
      <c r="B356" t="str">
        <f t="shared" si="10"/>
        <v>Feb</v>
      </c>
      <c r="C356">
        <f t="shared" si="11"/>
        <v>2</v>
      </c>
      <c r="D356" t="s">
        <v>579</v>
      </c>
      <c r="E356" t="s">
        <v>580</v>
      </c>
      <c r="F356" t="s">
        <v>13</v>
      </c>
      <c r="G356" t="s">
        <v>14</v>
      </c>
      <c r="H356" t="s">
        <v>15</v>
      </c>
      <c r="I356" t="s">
        <v>16</v>
      </c>
      <c r="J356" t="s">
        <v>51</v>
      </c>
      <c r="K356">
        <v>3</v>
      </c>
      <c r="L356" s="4">
        <v>4752.29</v>
      </c>
      <c r="M356">
        <v>1156.24</v>
      </c>
    </row>
    <row r="357" spans="1:13" x14ac:dyDescent="0.25">
      <c r="A357">
        <v>10356</v>
      </c>
      <c r="B357" t="str">
        <f t="shared" si="10"/>
        <v>May</v>
      </c>
      <c r="C357">
        <f t="shared" si="11"/>
        <v>5</v>
      </c>
      <c r="D357" t="s">
        <v>569</v>
      </c>
      <c r="E357" t="s">
        <v>581</v>
      </c>
      <c r="F357" t="s">
        <v>13</v>
      </c>
      <c r="G357" t="s">
        <v>46</v>
      </c>
      <c r="H357" t="s">
        <v>47</v>
      </c>
      <c r="I357" t="s">
        <v>27</v>
      </c>
      <c r="J357" t="s">
        <v>28</v>
      </c>
      <c r="K357">
        <v>8</v>
      </c>
      <c r="L357" s="4">
        <v>345.39</v>
      </c>
      <c r="M357">
        <v>7.0000000000000007E-2</v>
      </c>
    </row>
    <row r="358" spans="1:13" x14ac:dyDescent="0.25">
      <c r="A358">
        <v>10357</v>
      </c>
      <c r="B358" t="str">
        <f t="shared" si="10"/>
        <v>Mar</v>
      </c>
      <c r="C358">
        <f t="shared" si="11"/>
        <v>3</v>
      </c>
      <c r="D358" t="s">
        <v>358</v>
      </c>
      <c r="E358" t="s">
        <v>582</v>
      </c>
      <c r="F358" t="s">
        <v>13</v>
      </c>
      <c r="G358" t="s">
        <v>32</v>
      </c>
      <c r="H358" t="s">
        <v>54</v>
      </c>
      <c r="I358" t="s">
        <v>16</v>
      </c>
      <c r="J358" t="s">
        <v>81</v>
      </c>
      <c r="K358">
        <v>2</v>
      </c>
      <c r="L358" s="4">
        <v>4271.1000000000004</v>
      </c>
      <c r="M358">
        <v>1163.22</v>
      </c>
    </row>
    <row r="359" spans="1:13" x14ac:dyDescent="0.25">
      <c r="A359">
        <v>10358</v>
      </c>
      <c r="B359" t="str">
        <f t="shared" si="10"/>
        <v>Apr</v>
      </c>
      <c r="C359">
        <f t="shared" si="11"/>
        <v>4</v>
      </c>
      <c r="D359" t="s">
        <v>560</v>
      </c>
      <c r="E359" t="s">
        <v>583</v>
      </c>
      <c r="F359" t="s">
        <v>31</v>
      </c>
      <c r="G359" t="s">
        <v>46</v>
      </c>
      <c r="H359" t="s">
        <v>47</v>
      </c>
      <c r="I359" t="s">
        <v>27</v>
      </c>
      <c r="J359" t="s">
        <v>77</v>
      </c>
      <c r="K359">
        <v>5</v>
      </c>
      <c r="L359" s="4">
        <v>4404.53</v>
      </c>
      <c r="M359">
        <v>241.08</v>
      </c>
    </row>
    <row r="360" spans="1:13" x14ac:dyDescent="0.25">
      <c r="A360">
        <v>10359</v>
      </c>
      <c r="B360" t="str">
        <f t="shared" si="10"/>
        <v>Feb</v>
      </c>
      <c r="C360">
        <f t="shared" si="11"/>
        <v>2</v>
      </c>
      <c r="D360" t="s">
        <v>374</v>
      </c>
      <c r="E360" t="s">
        <v>464</v>
      </c>
      <c r="F360" t="s">
        <v>13</v>
      </c>
      <c r="G360" t="s">
        <v>20</v>
      </c>
      <c r="H360" t="s">
        <v>76</v>
      </c>
      <c r="I360" t="s">
        <v>27</v>
      </c>
      <c r="J360" t="s">
        <v>77</v>
      </c>
      <c r="K360">
        <v>8</v>
      </c>
      <c r="L360" s="4">
        <v>4019.51</v>
      </c>
      <c r="M360">
        <v>773.3</v>
      </c>
    </row>
    <row r="361" spans="1:13" x14ac:dyDescent="0.25">
      <c r="A361">
        <v>10360</v>
      </c>
      <c r="B361" t="str">
        <f t="shared" si="10"/>
        <v>Jul</v>
      </c>
      <c r="C361">
        <f t="shared" si="11"/>
        <v>7</v>
      </c>
      <c r="D361" t="s">
        <v>144</v>
      </c>
      <c r="E361" t="s">
        <v>584</v>
      </c>
      <c r="F361" t="s">
        <v>31</v>
      </c>
      <c r="G361" t="s">
        <v>14</v>
      </c>
      <c r="H361" t="s">
        <v>15</v>
      </c>
      <c r="I361" t="s">
        <v>22</v>
      </c>
      <c r="J361" t="s">
        <v>34</v>
      </c>
      <c r="K361">
        <v>8</v>
      </c>
      <c r="L361" s="4">
        <v>4031.1</v>
      </c>
      <c r="M361">
        <v>867.1</v>
      </c>
    </row>
    <row r="362" spans="1:13" x14ac:dyDescent="0.25">
      <c r="A362">
        <v>10361</v>
      </c>
      <c r="B362" t="str">
        <f t="shared" si="10"/>
        <v>Dec</v>
      </c>
      <c r="C362">
        <f t="shared" si="11"/>
        <v>12</v>
      </c>
      <c r="D362" t="s">
        <v>121</v>
      </c>
      <c r="E362" t="s">
        <v>352</v>
      </c>
      <c r="F362" t="s">
        <v>26</v>
      </c>
      <c r="G362" t="s">
        <v>14</v>
      </c>
      <c r="H362" t="s">
        <v>15</v>
      </c>
      <c r="I362" t="s">
        <v>27</v>
      </c>
      <c r="J362" t="s">
        <v>77</v>
      </c>
      <c r="K362">
        <v>2</v>
      </c>
      <c r="L362" s="4">
        <v>4449.21</v>
      </c>
      <c r="M362">
        <v>706.31</v>
      </c>
    </row>
    <row r="363" spans="1:13" x14ac:dyDescent="0.25">
      <c r="A363">
        <v>10362</v>
      </c>
      <c r="B363" t="str">
        <f t="shared" si="10"/>
        <v>Dec</v>
      </c>
      <c r="C363">
        <f t="shared" si="11"/>
        <v>12</v>
      </c>
      <c r="D363" t="s">
        <v>585</v>
      </c>
      <c r="E363" t="s">
        <v>329</v>
      </c>
      <c r="F363" t="s">
        <v>31</v>
      </c>
      <c r="G363" t="s">
        <v>46</v>
      </c>
      <c r="H363" t="s">
        <v>47</v>
      </c>
      <c r="I363" t="s">
        <v>16</v>
      </c>
      <c r="J363" t="s">
        <v>81</v>
      </c>
      <c r="K363">
        <v>7</v>
      </c>
      <c r="L363" s="4">
        <v>3342.39</v>
      </c>
      <c r="M363">
        <v>340.25</v>
      </c>
    </row>
    <row r="364" spans="1:13" x14ac:dyDescent="0.25">
      <c r="A364">
        <v>10363</v>
      </c>
      <c r="B364" t="str">
        <f t="shared" si="10"/>
        <v>Sep</v>
      </c>
      <c r="C364">
        <f t="shared" si="11"/>
        <v>9</v>
      </c>
      <c r="D364" t="s">
        <v>586</v>
      </c>
      <c r="E364" t="s">
        <v>309</v>
      </c>
      <c r="F364" t="s">
        <v>26</v>
      </c>
      <c r="G364" t="s">
        <v>46</v>
      </c>
      <c r="H364" t="s">
        <v>71</v>
      </c>
      <c r="I364" t="s">
        <v>22</v>
      </c>
      <c r="J364" t="s">
        <v>48</v>
      </c>
      <c r="K364">
        <v>8</v>
      </c>
      <c r="L364" s="4">
        <v>4274.17</v>
      </c>
      <c r="M364">
        <v>1135.23</v>
      </c>
    </row>
    <row r="365" spans="1:13" x14ac:dyDescent="0.25">
      <c r="A365">
        <v>10364</v>
      </c>
      <c r="B365" t="str">
        <f t="shared" si="10"/>
        <v>Oct</v>
      </c>
      <c r="C365">
        <f t="shared" si="11"/>
        <v>10</v>
      </c>
      <c r="D365" t="s">
        <v>251</v>
      </c>
      <c r="E365" t="s">
        <v>587</v>
      </c>
      <c r="F365" t="s">
        <v>26</v>
      </c>
      <c r="G365" t="s">
        <v>32</v>
      </c>
      <c r="H365" t="s">
        <v>54</v>
      </c>
      <c r="I365" t="s">
        <v>22</v>
      </c>
      <c r="J365" t="s">
        <v>48</v>
      </c>
      <c r="K365">
        <v>7</v>
      </c>
      <c r="L365" s="4">
        <v>2076.06</v>
      </c>
      <c r="M365">
        <v>179.86</v>
      </c>
    </row>
    <row r="366" spans="1:13" x14ac:dyDescent="0.25">
      <c r="A366">
        <v>10365</v>
      </c>
      <c r="B366" t="str">
        <f t="shared" si="10"/>
        <v>Jan</v>
      </c>
      <c r="C366">
        <f t="shared" si="11"/>
        <v>1</v>
      </c>
      <c r="D366" t="s">
        <v>362</v>
      </c>
      <c r="E366" t="s">
        <v>588</v>
      </c>
      <c r="F366" t="s">
        <v>13</v>
      </c>
      <c r="G366" t="s">
        <v>20</v>
      </c>
      <c r="H366" t="s">
        <v>76</v>
      </c>
      <c r="I366" t="s">
        <v>27</v>
      </c>
      <c r="J366" t="s">
        <v>118</v>
      </c>
      <c r="K366">
        <v>8</v>
      </c>
      <c r="L366" s="4">
        <v>3751.67</v>
      </c>
      <c r="M366">
        <v>163.91</v>
      </c>
    </row>
    <row r="367" spans="1:13" x14ac:dyDescent="0.25">
      <c r="A367">
        <v>10366</v>
      </c>
      <c r="B367" t="str">
        <f t="shared" si="10"/>
        <v>Jan</v>
      </c>
      <c r="C367">
        <f t="shared" si="11"/>
        <v>1</v>
      </c>
      <c r="D367" t="s">
        <v>171</v>
      </c>
      <c r="E367" t="s">
        <v>291</v>
      </c>
      <c r="F367" t="s">
        <v>26</v>
      </c>
      <c r="G367" t="s">
        <v>14</v>
      </c>
      <c r="H367" t="s">
        <v>15</v>
      </c>
      <c r="I367" t="s">
        <v>16</v>
      </c>
      <c r="J367" t="s">
        <v>17</v>
      </c>
      <c r="K367">
        <v>4</v>
      </c>
      <c r="L367" s="4">
        <v>3307.52</v>
      </c>
      <c r="M367">
        <v>508.52</v>
      </c>
    </row>
    <row r="368" spans="1:13" x14ac:dyDescent="0.25">
      <c r="A368">
        <v>10367</v>
      </c>
      <c r="B368" t="str">
        <f t="shared" si="10"/>
        <v>Apr</v>
      </c>
      <c r="C368">
        <f t="shared" si="11"/>
        <v>4</v>
      </c>
      <c r="D368" t="s">
        <v>290</v>
      </c>
      <c r="E368" t="s">
        <v>578</v>
      </c>
      <c r="F368" t="s">
        <v>31</v>
      </c>
      <c r="G368" t="s">
        <v>20</v>
      </c>
      <c r="H368" t="s">
        <v>76</v>
      </c>
      <c r="I368" t="s">
        <v>16</v>
      </c>
      <c r="J368" t="s">
        <v>51</v>
      </c>
      <c r="K368">
        <v>6</v>
      </c>
      <c r="L368" s="4">
        <v>3607.98</v>
      </c>
      <c r="M368">
        <v>207.32</v>
      </c>
    </row>
    <row r="369" spans="1:13" x14ac:dyDescent="0.25">
      <c r="A369">
        <v>10368</v>
      </c>
      <c r="B369" t="str">
        <f t="shared" si="10"/>
        <v>Jul</v>
      </c>
      <c r="C369">
        <f t="shared" si="11"/>
        <v>7</v>
      </c>
      <c r="D369" t="s">
        <v>176</v>
      </c>
      <c r="E369" t="s">
        <v>589</v>
      </c>
      <c r="F369" t="s">
        <v>31</v>
      </c>
      <c r="G369" t="s">
        <v>32</v>
      </c>
      <c r="H369" t="s">
        <v>54</v>
      </c>
      <c r="I369" t="s">
        <v>16</v>
      </c>
      <c r="J369" t="s">
        <v>17</v>
      </c>
      <c r="K369">
        <v>2</v>
      </c>
      <c r="L369" s="4">
        <v>324.31</v>
      </c>
      <c r="M369">
        <v>15.48</v>
      </c>
    </row>
    <row r="370" spans="1:13" x14ac:dyDescent="0.25">
      <c r="A370">
        <v>10369</v>
      </c>
      <c r="B370" t="str">
        <f t="shared" si="10"/>
        <v>Feb</v>
      </c>
      <c r="C370">
        <f t="shared" si="11"/>
        <v>2</v>
      </c>
      <c r="D370" t="s">
        <v>517</v>
      </c>
      <c r="E370" t="s">
        <v>590</v>
      </c>
      <c r="F370" t="s">
        <v>31</v>
      </c>
      <c r="G370" t="s">
        <v>46</v>
      </c>
      <c r="H370" t="s">
        <v>71</v>
      </c>
      <c r="I370" t="s">
        <v>22</v>
      </c>
      <c r="J370" t="s">
        <v>34</v>
      </c>
      <c r="K370">
        <v>4</v>
      </c>
      <c r="L370" s="4">
        <v>2339.5300000000002</v>
      </c>
      <c r="M370">
        <v>502.34</v>
      </c>
    </row>
    <row r="371" spans="1:13" x14ac:dyDescent="0.25">
      <c r="A371">
        <v>10370</v>
      </c>
      <c r="B371" t="str">
        <f t="shared" si="10"/>
        <v>Oct</v>
      </c>
      <c r="C371">
        <f t="shared" si="11"/>
        <v>10</v>
      </c>
      <c r="D371" t="s">
        <v>67</v>
      </c>
      <c r="E371" t="s">
        <v>591</v>
      </c>
      <c r="F371" t="s">
        <v>13</v>
      </c>
      <c r="G371" t="s">
        <v>14</v>
      </c>
      <c r="H371" t="s">
        <v>15</v>
      </c>
      <c r="I371" t="s">
        <v>27</v>
      </c>
      <c r="J371" t="s">
        <v>77</v>
      </c>
      <c r="K371">
        <v>3</v>
      </c>
      <c r="L371" s="4">
        <v>4822.8900000000003</v>
      </c>
      <c r="M371">
        <v>172.75</v>
      </c>
    </row>
    <row r="372" spans="1:13" x14ac:dyDescent="0.25">
      <c r="A372">
        <v>10371</v>
      </c>
      <c r="B372" t="str">
        <f t="shared" si="10"/>
        <v>Jun</v>
      </c>
      <c r="C372">
        <f t="shared" si="11"/>
        <v>6</v>
      </c>
      <c r="D372" t="s">
        <v>457</v>
      </c>
      <c r="E372" t="s">
        <v>592</v>
      </c>
      <c r="F372" t="s">
        <v>31</v>
      </c>
      <c r="G372" t="s">
        <v>20</v>
      </c>
      <c r="H372" t="s">
        <v>21</v>
      </c>
      <c r="I372" t="s">
        <v>16</v>
      </c>
      <c r="J372" t="s">
        <v>43</v>
      </c>
      <c r="K372">
        <v>3</v>
      </c>
      <c r="L372" s="4">
        <v>607.41</v>
      </c>
      <c r="M372">
        <v>69.599999999999994</v>
      </c>
    </row>
    <row r="373" spans="1:13" x14ac:dyDescent="0.25">
      <c r="A373">
        <v>10372</v>
      </c>
      <c r="B373" t="str">
        <f t="shared" si="10"/>
        <v>Jul</v>
      </c>
      <c r="C373">
        <f t="shared" si="11"/>
        <v>7</v>
      </c>
      <c r="D373" t="s">
        <v>593</v>
      </c>
      <c r="E373" t="s">
        <v>594</v>
      </c>
      <c r="F373" t="s">
        <v>13</v>
      </c>
      <c r="G373" t="s">
        <v>20</v>
      </c>
      <c r="H373" t="s">
        <v>21</v>
      </c>
      <c r="I373" t="s">
        <v>27</v>
      </c>
      <c r="J373" t="s">
        <v>77</v>
      </c>
      <c r="K373">
        <v>6</v>
      </c>
      <c r="L373" s="4">
        <v>4855.41</v>
      </c>
      <c r="M373">
        <v>779.12</v>
      </c>
    </row>
    <row r="374" spans="1:13" x14ac:dyDescent="0.25">
      <c r="A374">
        <v>10373</v>
      </c>
      <c r="B374" t="str">
        <f t="shared" si="10"/>
        <v>Dec</v>
      </c>
      <c r="C374">
        <f t="shared" si="11"/>
        <v>12</v>
      </c>
      <c r="D374" t="s">
        <v>227</v>
      </c>
      <c r="E374" t="s">
        <v>464</v>
      </c>
      <c r="F374" t="s">
        <v>13</v>
      </c>
      <c r="G374" t="s">
        <v>32</v>
      </c>
      <c r="H374" t="s">
        <v>54</v>
      </c>
      <c r="I374" t="s">
        <v>16</v>
      </c>
      <c r="J374" t="s">
        <v>43</v>
      </c>
      <c r="K374">
        <v>4</v>
      </c>
      <c r="L374" s="4">
        <v>1127.5899999999999</v>
      </c>
      <c r="M374">
        <v>189.1</v>
      </c>
    </row>
    <row r="375" spans="1:13" x14ac:dyDescent="0.25">
      <c r="A375">
        <v>10374</v>
      </c>
      <c r="B375" t="str">
        <f t="shared" si="10"/>
        <v>Dec</v>
      </c>
      <c r="C375">
        <f t="shared" si="11"/>
        <v>12</v>
      </c>
      <c r="D375" t="s">
        <v>326</v>
      </c>
      <c r="E375" t="s">
        <v>595</v>
      </c>
      <c r="F375" t="s">
        <v>13</v>
      </c>
      <c r="G375" t="s">
        <v>46</v>
      </c>
      <c r="H375" t="s">
        <v>47</v>
      </c>
      <c r="I375" t="s">
        <v>16</v>
      </c>
      <c r="J375" t="s">
        <v>81</v>
      </c>
      <c r="K375">
        <v>6</v>
      </c>
      <c r="L375" s="4">
        <v>2855.17</v>
      </c>
      <c r="M375">
        <v>464.49</v>
      </c>
    </row>
    <row r="376" spans="1:13" x14ac:dyDescent="0.25">
      <c r="A376">
        <v>10375</v>
      </c>
      <c r="B376" t="str">
        <f t="shared" si="10"/>
        <v>May</v>
      </c>
      <c r="C376">
        <f t="shared" si="11"/>
        <v>5</v>
      </c>
      <c r="D376" t="s">
        <v>596</v>
      </c>
      <c r="E376" t="s">
        <v>127</v>
      </c>
      <c r="F376" t="s">
        <v>26</v>
      </c>
      <c r="G376" t="s">
        <v>32</v>
      </c>
      <c r="H376" t="s">
        <v>54</v>
      </c>
      <c r="I376" t="s">
        <v>22</v>
      </c>
      <c r="J376" t="s">
        <v>23</v>
      </c>
      <c r="K376">
        <v>1</v>
      </c>
      <c r="L376" s="4">
        <v>1966.26</v>
      </c>
      <c r="M376">
        <v>118.74</v>
      </c>
    </row>
    <row r="377" spans="1:13" x14ac:dyDescent="0.25">
      <c r="A377">
        <v>10376</v>
      </c>
      <c r="B377" t="str">
        <f t="shared" si="10"/>
        <v>Aug</v>
      </c>
      <c r="C377">
        <f t="shared" si="11"/>
        <v>8</v>
      </c>
      <c r="D377" t="s">
        <v>597</v>
      </c>
      <c r="E377" t="s">
        <v>417</v>
      </c>
      <c r="F377" t="s">
        <v>13</v>
      </c>
      <c r="G377" t="s">
        <v>32</v>
      </c>
      <c r="H377" t="s">
        <v>54</v>
      </c>
      <c r="I377" t="s">
        <v>22</v>
      </c>
      <c r="J377" t="s">
        <v>23</v>
      </c>
      <c r="K377">
        <v>5</v>
      </c>
      <c r="L377" s="4">
        <v>1099.5999999999999</v>
      </c>
      <c r="M377">
        <v>167.88</v>
      </c>
    </row>
    <row r="378" spans="1:13" x14ac:dyDescent="0.25">
      <c r="A378">
        <v>10377</v>
      </c>
      <c r="B378" t="str">
        <f t="shared" si="10"/>
        <v>Dec</v>
      </c>
      <c r="C378">
        <f t="shared" si="11"/>
        <v>12</v>
      </c>
      <c r="D378" t="s">
        <v>279</v>
      </c>
      <c r="E378" t="s">
        <v>598</v>
      </c>
      <c r="F378" t="s">
        <v>13</v>
      </c>
      <c r="G378" t="s">
        <v>46</v>
      </c>
      <c r="H378" t="s">
        <v>47</v>
      </c>
      <c r="I378" t="s">
        <v>22</v>
      </c>
      <c r="J378" t="s">
        <v>38</v>
      </c>
      <c r="K378">
        <v>1</v>
      </c>
      <c r="L378" s="4">
        <v>4639.78</v>
      </c>
      <c r="M378">
        <v>585.86</v>
      </c>
    </row>
    <row r="379" spans="1:13" x14ac:dyDescent="0.25">
      <c r="A379">
        <v>10378</v>
      </c>
      <c r="B379" t="str">
        <f t="shared" si="10"/>
        <v>Apr</v>
      </c>
      <c r="C379">
        <f t="shared" si="11"/>
        <v>4</v>
      </c>
      <c r="D379" t="s">
        <v>225</v>
      </c>
      <c r="E379" t="s">
        <v>599</v>
      </c>
      <c r="F379" t="s">
        <v>13</v>
      </c>
      <c r="G379" t="s">
        <v>14</v>
      </c>
      <c r="H379" t="s">
        <v>15</v>
      </c>
      <c r="I379" t="s">
        <v>16</v>
      </c>
      <c r="J379" t="s">
        <v>17</v>
      </c>
      <c r="K379">
        <v>4</v>
      </c>
      <c r="L379" s="4">
        <v>3140.75</v>
      </c>
      <c r="M379">
        <v>683.2</v>
      </c>
    </row>
    <row r="380" spans="1:13" x14ac:dyDescent="0.25">
      <c r="A380">
        <v>10379</v>
      </c>
      <c r="B380" t="str">
        <f t="shared" si="10"/>
        <v>Mar</v>
      </c>
      <c r="C380">
        <f t="shared" si="11"/>
        <v>3</v>
      </c>
      <c r="D380" t="s">
        <v>317</v>
      </c>
      <c r="E380" t="s">
        <v>600</v>
      </c>
      <c r="F380" t="s">
        <v>13</v>
      </c>
      <c r="G380" t="s">
        <v>32</v>
      </c>
      <c r="H380" t="s">
        <v>33</v>
      </c>
      <c r="I380" t="s">
        <v>16</v>
      </c>
      <c r="J380" t="s">
        <v>43</v>
      </c>
      <c r="K380">
        <v>5</v>
      </c>
      <c r="L380" s="4">
        <v>2299.19</v>
      </c>
      <c r="M380">
        <v>672.8</v>
      </c>
    </row>
    <row r="381" spans="1:13" x14ac:dyDescent="0.25">
      <c r="A381">
        <v>10380</v>
      </c>
      <c r="B381" t="str">
        <f t="shared" si="10"/>
        <v>May</v>
      </c>
      <c r="C381">
        <f t="shared" si="11"/>
        <v>5</v>
      </c>
      <c r="D381" t="s">
        <v>486</v>
      </c>
      <c r="E381" t="s">
        <v>359</v>
      </c>
      <c r="F381" t="s">
        <v>31</v>
      </c>
      <c r="G381" t="s">
        <v>14</v>
      </c>
      <c r="H381" t="s">
        <v>37</v>
      </c>
      <c r="I381" t="s">
        <v>22</v>
      </c>
      <c r="J381" t="s">
        <v>34</v>
      </c>
      <c r="K381">
        <v>5</v>
      </c>
      <c r="L381" s="4">
        <v>2827.33</v>
      </c>
      <c r="M381">
        <v>174.9</v>
      </c>
    </row>
    <row r="382" spans="1:13" x14ac:dyDescent="0.25">
      <c r="A382">
        <v>10381</v>
      </c>
      <c r="B382" t="str">
        <f t="shared" si="10"/>
        <v>Dec</v>
      </c>
      <c r="C382">
        <f t="shared" si="11"/>
        <v>12</v>
      </c>
      <c r="D382" t="s">
        <v>601</v>
      </c>
      <c r="E382" t="s">
        <v>602</v>
      </c>
      <c r="F382" t="s">
        <v>31</v>
      </c>
      <c r="G382" t="s">
        <v>20</v>
      </c>
      <c r="H382" t="s">
        <v>21</v>
      </c>
      <c r="I382" t="s">
        <v>22</v>
      </c>
      <c r="J382" t="s">
        <v>48</v>
      </c>
      <c r="K382">
        <v>6</v>
      </c>
      <c r="L382" s="4">
        <v>3024.71</v>
      </c>
      <c r="M382">
        <v>673.72</v>
      </c>
    </row>
    <row r="383" spans="1:13" x14ac:dyDescent="0.25">
      <c r="A383">
        <v>10382</v>
      </c>
      <c r="B383" t="str">
        <f t="shared" si="10"/>
        <v>Mar</v>
      </c>
      <c r="C383">
        <f t="shared" si="11"/>
        <v>3</v>
      </c>
      <c r="D383" t="s">
        <v>603</v>
      </c>
      <c r="E383" t="s">
        <v>604</v>
      </c>
      <c r="F383" t="s">
        <v>13</v>
      </c>
      <c r="G383" t="s">
        <v>32</v>
      </c>
      <c r="H383" t="s">
        <v>33</v>
      </c>
      <c r="I383" t="s">
        <v>16</v>
      </c>
      <c r="J383" t="s">
        <v>17</v>
      </c>
      <c r="K383">
        <v>4</v>
      </c>
      <c r="L383" s="4">
        <v>4789.24</v>
      </c>
      <c r="M383">
        <v>784.16</v>
      </c>
    </row>
    <row r="384" spans="1:13" x14ac:dyDescent="0.25">
      <c r="A384">
        <v>10383</v>
      </c>
      <c r="B384" t="str">
        <f t="shared" si="10"/>
        <v>Nov</v>
      </c>
      <c r="C384">
        <f t="shared" si="11"/>
        <v>11</v>
      </c>
      <c r="D384" t="s">
        <v>264</v>
      </c>
      <c r="E384" t="s">
        <v>605</v>
      </c>
      <c r="F384" t="s">
        <v>31</v>
      </c>
      <c r="G384" t="s">
        <v>20</v>
      </c>
      <c r="H384" t="s">
        <v>21</v>
      </c>
      <c r="I384" t="s">
        <v>27</v>
      </c>
      <c r="J384" t="s">
        <v>104</v>
      </c>
      <c r="K384">
        <v>4</v>
      </c>
      <c r="L384" s="4">
        <v>3350.34</v>
      </c>
      <c r="M384">
        <v>415.46</v>
      </c>
    </row>
    <row r="385" spans="1:13" x14ac:dyDescent="0.25">
      <c r="A385">
        <v>10384</v>
      </c>
      <c r="B385" t="str">
        <f t="shared" si="10"/>
        <v>May</v>
      </c>
      <c r="C385">
        <f t="shared" si="11"/>
        <v>5</v>
      </c>
      <c r="D385" t="s">
        <v>357</v>
      </c>
      <c r="E385" t="s">
        <v>606</v>
      </c>
      <c r="F385" t="s">
        <v>13</v>
      </c>
      <c r="G385" t="s">
        <v>14</v>
      </c>
      <c r="H385" t="s">
        <v>15</v>
      </c>
      <c r="I385" t="s">
        <v>16</v>
      </c>
      <c r="J385" t="s">
        <v>17</v>
      </c>
      <c r="K385">
        <v>8</v>
      </c>
      <c r="L385" s="4">
        <v>1277.7</v>
      </c>
      <c r="M385">
        <v>177.18</v>
      </c>
    </row>
    <row r="386" spans="1:13" x14ac:dyDescent="0.25">
      <c r="A386">
        <v>10385</v>
      </c>
      <c r="B386" t="str">
        <f t="shared" ref="B386:B449" si="12">TEXT(D386,"mmm")</f>
        <v>Jul</v>
      </c>
      <c r="C386">
        <f t="shared" ref="C386:C449" si="13">MONTH(D386)</f>
        <v>7</v>
      </c>
      <c r="D386" t="s">
        <v>211</v>
      </c>
      <c r="E386" t="s">
        <v>607</v>
      </c>
      <c r="F386" t="s">
        <v>13</v>
      </c>
      <c r="G386" t="s">
        <v>32</v>
      </c>
      <c r="H386" t="s">
        <v>54</v>
      </c>
      <c r="I386" t="s">
        <v>22</v>
      </c>
      <c r="J386" t="s">
        <v>34</v>
      </c>
      <c r="K386">
        <v>5</v>
      </c>
      <c r="L386" s="4">
        <v>2747.16</v>
      </c>
      <c r="M386">
        <v>240.47</v>
      </c>
    </row>
    <row r="387" spans="1:13" x14ac:dyDescent="0.25">
      <c r="A387">
        <v>10386</v>
      </c>
      <c r="B387" t="str">
        <f t="shared" si="12"/>
        <v>Oct</v>
      </c>
      <c r="C387">
        <f t="shared" si="13"/>
        <v>10</v>
      </c>
      <c r="D387" t="s">
        <v>114</v>
      </c>
      <c r="E387" t="s">
        <v>285</v>
      </c>
      <c r="F387" t="s">
        <v>26</v>
      </c>
      <c r="G387" t="s">
        <v>20</v>
      </c>
      <c r="H387" t="s">
        <v>76</v>
      </c>
      <c r="I387" t="s">
        <v>22</v>
      </c>
      <c r="J387" t="s">
        <v>38</v>
      </c>
      <c r="K387">
        <v>4</v>
      </c>
      <c r="L387" s="4">
        <v>1669.53</v>
      </c>
      <c r="M387">
        <v>108.25</v>
      </c>
    </row>
    <row r="388" spans="1:13" x14ac:dyDescent="0.25">
      <c r="A388">
        <v>10387</v>
      </c>
      <c r="B388" t="str">
        <f t="shared" si="12"/>
        <v>Aug</v>
      </c>
      <c r="C388">
        <f t="shared" si="13"/>
        <v>8</v>
      </c>
      <c r="D388" t="s">
        <v>421</v>
      </c>
      <c r="E388" t="s">
        <v>608</v>
      </c>
      <c r="F388" t="s">
        <v>26</v>
      </c>
      <c r="G388" t="s">
        <v>14</v>
      </c>
      <c r="H388" t="s">
        <v>15</v>
      </c>
      <c r="I388" t="s">
        <v>16</v>
      </c>
      <c r="J388" t="s">
        <v>43</v>
      </c>
      <c r="K388">
        <v>7</v>
      </c>
      <c r="L388" s="4">
        <v>4194.76</v>
      </c>
      <c r="M388">
        <v>342.45</v>
      </c>
    </row>
    <row r="389" spans="1:13" x14ac:dyDescent="0.25">
      <c r="A389">
        <v>10388</v>
      </c>
      <c r="B389" t="str">
        <f t="shared" si="12"/>
        <v>Oct</v>
      </c>
      <c r="C389">
        <f t="shared" si="13"/>
        <v>10</v>
      </c>
      <c r="D389" t="s">
        <v>353</v>
      </c>
      <c r="E389" t="s">
        <v>609</v>
      </c>
      <c r="F389" t="s">
        <v>13</v>
      </c>
      <c r="G389" t="s">
        <v>46</v>
      </c>
      <c r="H389" t="s">
        <v>71</v>
      </c>
      <c r="I389" t="s">
        <v>27</v>
      </c>
      <c r="J389" t="s">
        <v>28</v>
      </c>
      <c r="K389">
        <v>1</v>
      </c>
      <c r="L389" s="4">
        <v>528.85</v>
      </c>
      <c r="M389">
        <v>-45.8</v>
      </c>
    </row>
    <row r="390" spans="1:13" x14ac:dyDescent="0.25">
      <c r="A390">
        <v>10389</v>
      </c>
      <c r="B390" t="str">
        <f t="shared" si="12"/>
        <v>Dec</v>
      </c>
      <c r="C390">
        <f t="shared" si="13"/>
        <v>12</v>
      </c>
      <c r="D390" t="s">
        <v>227</v>
      </c>
      <c r="E390" t="s">
        <v>610</v>
      </c>
      <c r="F390" t="s">
        <v>13</v>
      </c>
      <c r="G390" t="s">
        <v>46</v>
      </c>
      <c r="H390" t="s">
        <v>47</v>
      </c>
      <c r="I390" t="s">
        <v>27</v>
      </c>
      <c r="J390" t="s">
        <v>77</v>
      </c>
      <c r="K390">
        <v>8</v>
      </c>
      <c r="L390" s="4">
        <v>3188.06</v>
      </c>
      <c r="M390">
        <v>502.84</v>
      </c>
    </row>
    <row r="391" spans="1:13" x14ac:dyDescent="0.25">
      <c r="A391">
        <v>10390</v>
      </c>
      <c r="B391" t="str">
        <f t="shared" si="12"/>
        <v>Dec</v>
      </c>
      <c r="C391">
        <f t="shared" si="13"/>
        <v>12</v>
      </c>
      <c r="D391" t="s">
        <v>96</v>
      </c>
      <c r="E391" t="s">
        <v>602</v>
      </c>
      <c r="F391" t="s">
        <v>13</v>
      </c>
      <c r="G391" t="s">
        <v>14</v>
      </c>
      <c r="H391" t="s">
        <v>15</v>
      </c>
      <c r="I391" t="s">
        <v>16</v>
      </c>
      <c r="J391" t="s">
        <v>81</v>
      </c>
      <c r="K391">
        <v>2</v>
      </c>
      <c r="L391" s="4">
        <v>1852.73</v>
      </c>
      <c r="M391">
        <v>296.56</v>
      </c>
    </row>
    <row r="392" spans="1:13" x14ac:dyDescent="0.25">
      <c r="A392">
        <v>10391</v>
      </c>
      <c r="B392" t="str">
        <f t="shared" si="12"/>
        <v>Apr</v>
      </c>
      <c r="C392">
        <f t="shared" si="13"/>
        <v>4</v>
      </c>
      <c r="D392" t="s">
        <v>219</v>
      </c>
      <c r="E392" t="s">
        <v>611</v>
      </c>
      <c r="F392" t="s">
        <v>13</v>
      </c>
      <c r="G392" t="s">
        <v>14</v>
      </c>
      <c r="H392" t="s">
        <v>37</v>
      </c>
      <c r="I392" t="s">
        <v>27</v>
      </c>
      <c r="J392" t="s">
        <v>77</v>
      </c>
      <c r="K392">
        <v>7</v>
      </c>
      <c r="L392" s="4">
        <v>4128.3999999999996</v>
      </c>
      <c r="M392">
        <v>222.6</v>
      </c>
    </row>
    <row r="393" spans="1:13" x14ac:dyDescent="0.25">
      <c r="A393">
        <v>10392</v>
      </c>
      <c r="B393" t="str">
        <f t="shared" si="12"/>
        <v>Nov</v>
      </c>
      <c r="C393">
        <f t="shared" si="13"/>
        <v>11</v>
      </c>
      <c r="D393" t="s">
        <v>612</v>
      </c>
      <c r="E393" t="s">
        <v>373</v>
      </c>
      <c r="F393" t="s">
        <v>26</v>
      </c>
      <c r="G393" t="s">
        <v>20</v>
      </c>
      <c r="H393" t="s">
        <v>76</v>
      </c>
      <c r="I393" t="s">
        <v>16</v>
      </c>
      <c r="J393" t="s">
        <v>43</v>
      </c>
      <c r="K393">
        <v>5</v>
      </c>
      <c r="L393" s="4">
        <v>3418.72</v>
      </c>
      <c r="M393">
        <v>872.76</v>
      </c>
    </row>
    <row r="394" spans="1:13" x14ac:dyDescent="0.25">
      <c r="A394">
        <v>10393</v>
      </c>
      <c r="B394" t="str">
        <f t="shared" si="12"/>
        <v>Jun</v>
      </c>
      <c r="C394">
        <f t="shared" si="13"/>
        <v>6</v>
      </c>
      <c r="D394" t="s">
        <v>613</v>
      </c>
      <c r="E394" t="s">
        <v>614</v>
      </c>
      <c r="F394" t="s">
        <v>31</v>
      </c>
      <c r="G394" t="s">
        <v>46</v>
      </c>
      <c r="H394" t="s">
        <v>71</v>
      </c>
      <c r="I394" t="s">
        <v>22</v>
      </c>
      <c r="J394" t="s">
        <v>23</v>
      </c>
      <c r="K394">
        <v>7</v>
      </c>
      <c r="L394" s="4">
        <v>2732.05</v>
      </c>
      <c r="M394">
        <v>752.93</v>
      </c>
    </row>
    <row r="395" spans="1:13" x14ac:dyDescent="0.25">
      <c r="A395">
        <v>10394</v>
      </c>
      <c r="B395" t="str">
        <f t="shared" si="12"/>
        <v>Jan</v>
      </c>
      <c r="C395">
        <f t="shared" si="13"/>
        <v>1</v>
      </c>
      <c r="D395" t="s">
        <v>171</v>
      </c>
      <c r="E395" t="s">
        <v>289</v>
      </c>
      <c r="F395" t="s">
        <v>13</v>
      </c>
      <c r="G395" t="s">
        <v>46</v>
      </c>
      <c r="H395" t="s">
        <v>71</v>
      </c>
      <c r="I395" t="s">
        <v>22</v>
      </c>
      <c r="J395" t="s">
        <v>48</v>
      </c>
      <c r="K395">
        <v>5</v>
      </c>
      <c r="L395" s="4">
        <v>1052.2</v>
      </c>
      <c r="M395">
        <v>20.350000000000001</v>
      </c>
    </row>
    <row r="396" spans="1:13" x14ac:dyDescent="0.25">
      <c r="A396">
        <v>10395</v>
      </c>
      <c r="B396" t="str">
        <f t="shared" si="12"/>
        <v>Jun</v>
      </c>
      <c r="C396">
        <f t="shared" si="13"/>
        <v>6</v>
      </c>
      <c r="D396" t="s">
        <v>305</v>
      </c>
      <c r="E396" t="s">
        <v>615</v>
      </c>
      <c r="F396" t="s">
        <v>26</v>
      </c>
      <c r="G396" t="s">
        <v>20</v>
      </c>
      <c r="H396" t="s">
        <v>21</v>
      </c>
      <c r="I396" t="s">
        <v>27</v>
      </c>
      <c r="J396" t="s">
        <v>118</v>
      </c>
      <c r="K396">
        <v>5</v>
      </c>
      <c r="L396" s="4">
        <v>581.19000000000005</v>
      </c>
      <c r="M396">
        <v>85.77</v>
      </c>
    </row>
    <row r="397" spans="1:13" x14ac:dyDescent="0.25">
      <c r="A397">
        <v>10396</v>
      </c>
      <c r="B397" t="str">
        <f t="shared" si="12"/>
        <v>Jun</v>
      </c>
      <c r="C397">
        <f t="shared" si="13"/>
        <v>6</v>
      </c>
      <c r="D397" t="s">
        <v>616</v>
      </c>
      <c r="E397" t="s">
        <v>188</v>
      </c>
      <c r="F397" t="s">
        <v>13</v>
      </c>
      <c r="G397" t="s">
        <v>46</v>
      </c>
      <c r="H397" t="s">
        <v>71</v>
      </c>
      <c r="I397" t="s">
        <v>27</v>
      </c>
      <c r="J397" t="s">
        <v>118</v>
      </c>
      <c r="K397">
        <v>4</v>
      </c>
      <c r="L397" s="4">
        <v>1657.15</v>
      </c>
      <c r="M397">
        <v>207.92</v>
      </c>
    </row>
    <row r="398" spans="1:13" x14ac:dyDescent="0.25">
      <c r="A398">
        <v>10397</v>
      </c>
      <c r="B398" t="str">
        <f t="shared" si="12"/>
        <v>Nov</v>
      </c>
      <c r="C398">
        <f t="shared" si="13"/>
        <v>11</v>
      </c>
      <c r="D398" t="s">
        <v>330</v>
      </c>
      <c r="E398" t="s">
        <v>113</v>
      </c>
      <c r="F398" t="s">
        <v>31</v>
      </c>
      <c r="G398" t="s">
        <v>46</v>
      </c>
      <c r="H398" t="s">
        <v>47</v>
      </c>
      <c r="I398" t="s">
        <v>27</v>
      </c>
      <c r="J398" t="s">
        <v>77</v>
      </c>
      <c r="K398">
        <v>3</v>
      </c>
      <c r="L398" s="4">
        <v>123.68</v>
      </c>
      <c r="M398">
        <v>-8.36</v>
      </c>
    </row>
    <row r="399" spans="1:13" x14ac:dyDescent="0.25">
      <c r="A399">
        <v>10398</v>
      </c>
      <c r="B399" t="str">
        <f t="shared" si="12"/>
        <v>Oct</v>
      </c>
      <c r="C399">
        <f t="shared" si="13"/>
        <v>10</v>
      </c>
      <c r="D399" t="s">
        <v>324</v>
      </c>
      <c r="E399" t="s">
        <v>432</v>
      </c>
      <c r="F399" t="s">
        <v>26</v>
      </c>
      <c r="G399" t="s">
        <v>32</v>
      </c>
      <c r="H399" t="s">
        <v>33</v>
      </c>
      <c r="I399" t="s">
        <v>16</v>
      </c>
      <c r="J399" t="s">
        <v>17</v>
      </c>
      <c r="K399">
        <v>8</v>
      </c>
      <c r="L399" s="4">
        <v>2367.96</v>
      </c>
      <c r="M399">
        <v>300.22000000000003</v>
      </c>
    </row>
    <row r="400" spans="1:13" x14ac:dyDescent="0.25">
      <c r="A400">
        <v>10399</v>
      </c>
      <c r="B400" t="str">
        <f t="shared" si="12"/>
        <v>Jan</v>
      </c>
      <c r="C400">
        <f t="shared" si="13"/>
        <v>1</v>
      </c>
      <c r="D400" t="s">
        <v>617</v>
      </c>
      <c r="E400" t="s">
        <v>618</v>
      </c>
      <c r="F400" t="s">
        <v>13</v>
      </c>
      <c r="G400" t="s">
        <v>14</v>
      </c>
      <c r="H400" t="s">
        <v>37</v>
      </c>
      <c r="I400" t="s">
        <v>22</v>
      </c>
      <c r="J400" t="s">
        <v>48</v>
      </c>
      <c r="K400">
        <v>5</v>
      </c>
      <c r="L400" s="4">
        <v>3694.37</v>
      </c>
      <c r="M400">
        <v>690.72</v>
      </c>
    </row>
    <row r="401" spans="1:13" x14ac:dyDescent="0.25">
      <c r="A401">
        <v>10400</v>
      </c>
      <c r="B401" t="str">
        <f t="shared" si="12"/>
        <v>Aug</v>
      </c>
      <c r="C401">
        <f t="shared" si="13"/>
        <v>8</v>
      </c>
      <c r="D401" t="s">
        <v>505</v>
      </c>
      <c r="E401" t="s">
        <v>619</v>
      </c>
      <c r="F401" t="s">
        <v>26</v>
      </c>
      <c r="G401" t="s">
        <v>14</v>
      </c>
      <c r="H401" t="s">
        <v>37</v>
      </c>
      <c r="I401" t="s">
        <v>16</v>
      </c>
      <c r="J401" t="s">
        <v>43</v>
      </c>
      <c r="K401">
        <v>1</v>
      </c>
      <c r="L401" s="4">
        <v>2802.81</v>
      </c>
      <c r="M401">
        <v>421.08</v>
      </c>
    </row>
    <row r="402" spans="1:13" x14ac:dyDescent="0.25">
      <c r="A402">
        <v>10401</v>
      </c>
      <c r="B402" t="str">
        <f t="shared" si="12"/>
        <v>Sep</v>
      </c>
      <c r="C402">
        <f t="shared" si="13"/>
        <v>9</v>
      </c>
      <c r="D402" t="s">
        <v>328</v>
      </c>
      <c r="E402" t="s">
        <v>434</v>
      </c>
      <c r="F402" t="s">
        <v>13</v>
      </c>
      <c r="G402" t="s">
        <v>32</v>
      </c>
      <c r="H402" t="s">
        <v>54</v>
      </c>
      <c r="I402" t="s">
        <v>22</v>
      </c>
      <c r="J402" t="s">
        <v>38</v>
      </c>
      <c r="K402">
        <v>3</v>
      </c>
      <c r="L402" s="4">
        <v>2377.04</v>
      </c>
      <c r="M402">
        <v>382.49</v>
      </c>
    </row>
    <row r="403" spans="1:13" x14ac:dyDescent="0.25">
      <c r="A403">
        <v>10402</v>
      </c>
      <c r="B403" t="str">
        <f t="shared" si="12"/>
        <v>Mar</v>
      </c>
      <c r="C403">
        <f t="shared" si="13"/>
        <v>3</v>
      </c>
      <c r="D403" t="s">
        <v>620</v>
      </c>
      <c r="E403" t="s">
        <v>621</v>
      </c>
      <c r="F403" t="s">
        <v>13</v>
      </c>
      <c r="G403" t="s">
        <v>46</v>
      </c>
      <c r="H403" t="s">
        <v>71</v>
      </c>
      <c r="I403" t="s">
        <v>16</v>
      </c>
      <c r="J403" t="s">
        <v>43</v>
      </c>
      <c r="K403">
        <v>8</v>
      </c>
      <c r="L403" s="4">
        <v>880.19</v>
      </c>
      <c r="M403">
        <v>112.05</v>
      </c>
    </row>
    <row r="404" spans="1:13" x14ac:dyDescent="0.25">
      <c r="A404">
        <v>10403</v>
      </c>
      <c r="B404" t="str">
        <f t="shared" si="12"/>
        <v>Dec</v>
      </c>
      <c r="C404">
        <f t="shared" si="13"/>
        <v>12</v>
      </c>
      <c r="D404" t="s">
        <v>622</v>
      </c>
      <c r="E404" t="s">
        <v>623</v>
      </c>
      <c r="F404" t="s">
        <v>13</v>
      </c>
      <c r="G404" t="s">
        <v>20</v>
      </c>
      <c r="H404" t="s">
        <v>76</v>
      </c>
      <c r="I404" t="s">
        <v>22</v>
      </c>
      <c r="J404" t="s">
        <v>48</v>
      </c>
      <c r="K404">
        <v>8</v>
      </c>
      <c r="L404" s="4">
        <v>1235.57</v>
      </c>
      <c r="M404">
        <v>120.03</v>
      </c>
    </row>
    <row r="405" spans="1:13" x14ac:dyDescent="0.25">
      <c r="A405">
        <v>10404</v>
      </c>
      <c r="B405" t="str">
        <f t="shared" si="12"/>
        <v>Sep</v>
      </c>
      <c r="C405">
        <f t="shared" si="13"/>
        <v>9</v>
      </c>
      <c r="D405" t="s">
        <v>495</v>
      </c>
      <c r="E405" t="s">
        <v>599</v>
      </c>
      <c r="F405" t="s">
        <v>31</v>
      </c>
      <c r="G405" t="s">
        <v>32</v>
      </c>
      <c r="H405" t="s">
        <v>54</v>
      </c>
      <c r="I405" t="s">
        <v>27</v>
      </c>
      <c r="J405" t="s">
        <v>77</v>
      </c>
      <c r="K405">
        <v>1</v>
      </c>
      <c r="L405" s="4">
        <v>295.52999999999997</v>
      </c>
      <c r="M405">
        <v>52.37</v>
      </c>
    </row>
    <row r="406" spans="1:13" x14ac:dyDescent="0.25">
      <c r="A406">
        <v>10405</v>
      </c>
      <c r="B406" t="str">
        <f t="shared" si="12"/>
        <v>May</v>
      </c>
      <c r="C406">
        <f t="shared" si="13"/>
        <v>5</v>
      </c>
      <c r="D406" t="s">
        <v>624</v>
      </c>
      <c r="E406" t="s">
        <v>625</v>
      </c>
      <c r="F406" t="s">
        <v>26</v>
      </c>
      <c r="G406" t="s">
        <v>32</v>
      </c>
      <c r="H406" t="s">
        <v>33</v>
      </c>
      <c r="I406" t="s">
        <v>27</v>
      </c>
      <c r="J406" t="s">
        <v>77</v>
      </c>
      <c r="K406">
        <v>6</v>
      </c>
      <c r="L406" s="4">
        <v>2979.63</v>
      </c>
      <c r="M406">
        <v>810.29</v>
      </c>
    </row>
    <row r="407" spans="1:13" x14ac:dyDescent="0.25">
      <c r="A407">
        <v>10406</v>
      </c>
      <c r="B407" t="str">
        <f t="shared" si="12"/>
        <v>Aug</v>
      </c>
      <c r="C407">
        <f t="shared" si="13"/>
        <v>8</v>
      </c>
      <c r="D407" t="s">
        <v>169</v>
      </c>
      <c r="E407" t="s">
        <v>626</v>
      </c>
      <c r="F407" t="s">
        <v>26</v>
      </c>
      <c r="G407" t="s">
        <v>20</v>
      </c>
      <c r="H407" t="s">
        <v>76</v>
      </c>
      <c r="I407" t="s">
        <v>27</v>
      </c>
      <c r="J407" t="s">
        <v>77</v>
      </c>
      <c r="K407">
        <v>8</v>
      </c>
      <c r="L407" s="4">
        <v>4447.1400000000003</v>
      </c>
      <c r="M407">
        <v>141.49</v>
      </c>
    </row>
    <row r="408" spans="1:13" x14ac:dyDescent="0.25">
      <c r="A408">
        <v>10407</v>
      </c>
      <c r="B408" t="str">
        <f t="shared" si="12"/>
        <v>Dec</v>
      </c>
      <c r="C408">
        <f t="shared" si="13"/>
        <v>12</v>
      </c>
      <c r="D408" t="s">
        <v>601</v>
      </c>
      <c r="E408" t="s">
        <v>68</v>
      </c>
      <c r="F408" t="s">
        <v>31</v>
      </c>
      <c r="G408" t="s">
        <v>14</v>
      </c>
      <c r="H408" t="s">
        <v>37</v>
      </c>
      <c r="I408" t="s">
        <v>22</v>
      </c>
      <c r="J408" t="s">
        <v>48</v>
      </c>
      <c r="K408">
        <v>3</v>
      </c>
      <c r="L408" s="4">
        <v>871.05</v>
      </c>
      <c r="M408">
        <v>92.95</v>
      </c>
    </row>
    <row r="409" spans="1:13" x14ac:dyDescent="0.25">
      <c r="A409">
        <v>10408</v>
      </c>
      <c r="B409" t="str">
        <f t="shared" si="12"/>
        <v>Jan</v>
      </c>
      <c r="C409">
        <f t="shared" si="13"/>
        <v>1</v>
      </c>
      <c r="D409" t="s">
        <v>627</v>
      </c>
      <c r="E409" t="s">
        <v>156</v>
      </c>
      <c r="F409" t="s">
        <v>26</v>
      </c>
      <c r="G409" t="s">
        <v>32</v>
      </c>
      <c r="H409" t="s">
        <v>33</v>
      </c>
      <c r="I409" t="s">
        <v>27</v>
      </c>
      <c r="J409" t="s">
        <v>77</v>
      </c>
      <c r="K409">
        <v>8</v>
      </c>
      <c r="L409" s="4">
        <v>1132.45</v>
      </c>
      <c r="M409">
        <v>18.940000000000001</v>
      </c>
    </row>
    <row r="410" spans="1:13" x14ac:dyDescent="0.25">
      <c r="A410">
        <v>10409</v>
      </c>
      <c r="B410" t="str">
        <f t="shared" si="12"/>
        <v>Jul</v>
      </c>
      <c r="C410">
        <f t="shared" si="13"/>
        <v>7</v>
      </c>
      <c r="D410" t="s">
        <v>140</v>
      </c>
      <c r="E410" t="s">
        <v>628</v>
      </c>
      <c r="F410" t="s">
        <v>13</v>
      </c>
      <c r="G410" t="s">
        <v>46</v>
      </c>
      <c r="H410" t="s">
        <v>71</v>
      </c>
      <c r="I410" t="s">
        <v>22</v>
      </c>
      <c r="J410" t="s">
        <v>23</v>
      </c>
      <c r="K410">
        <v>3</v>
      </c>
      <c r="L410" s="4">
        <v>373.97</v>
      </c>
      <c r="M410">
        <v>24.84</v>
      </c>
    </row>
    <row r="411" spans="1:13" x14ac:dyDescent="0.25">
      <c r="A411">
        <v>10410</v>
      </c>
      <c r="B411" t="str">
        <f t="shared" si="12"/>
        <v>Apr</v>
      </c>
      <c r="C411">
        <f t="shared" si="13"/>
        <v>4</v>
      </c>
      <c r="D411" t="s">
        <v>219</v>
      </c>
      <c r="E411" t="s">
        <v>629</v>
      </c>
      <c r="F411" t="s">
        <v>31</v>
      </c>
      <c r="G411" t="s">
        <v>14</v>
      </c>
      <c r="H411" t="s">
        <v>37</v>
      </c>
      <c r="I411" t="s">
        <v>22</v>
      </c>
      <c r="J411" t="s">
        <v>48</v>
      </c>
      <c r="K411">
        <v>8</v>
      </c>
      <c r="L411" s="4">
        <v>3071.98</v>
      </c>
      <c r="M411">
        <v>467.48</v>
      </c>
    </row>
    <row r="412" spans="1:13" x14ac:dyDescent="0.25">
      <c r="A412">
        <v>10411</v>
      </c>
      <c r="B412" t="str">
        <f t="shared" si="12"/>
        <v>Oct</v>
      </c>
      <c r="C412">
        <f t="shared" si="13"/>
        <v>10</v>
      </c>
      <c r="D412" t="s">
        <v>508</v>
      </c>
      <c r="E412" t="s">
        <v>379</v>
      </c>
      <c r="F412" t="s">
        <v>26</v>
      </c>
      <c r="G412" t="s">
        <v>46</v>
      </c>
      <c r="H412" t="s">
        <v>71</v>
      </c>
      <c r="I412" t="s">
        <v>16</v>
      </c>
      <c r="J412" t="s">
        <v>17</v>
      </c>
      <c r="K412">
        <v>3</v>
      </c>
      <c r="L412" s="4">
        <v>3648.52</v>
      </c>
      <c r="M412">
        <v>449.64</v>
      </c>
    </row>
    <row r="413" spans="1:13" x14ac:dyDescent="0.25">
      <c r="A413">
        <v>10412</v>
      </c>
      <c r="B413" t="str">
        <f t="shared" si="12"/>
        <v>Aug</v>
      </c>
      <c r="C413">
        <f t="shared" si="13"/>
        <v>8</v>
      </c>
      <c r="D413" t="s">
        <v>138</v>
      </c>
      <c r="E413" t="s">
        <v>630</v>
      </c>
      <c r="F413" t="s">
        <v>26</v>
      </c>
      <c r="G413" t="s">
        <v>20</v>
      </c>
      <c r="H413" t="s">
        <v>76</v>
      </c>
      <c r="I413" t="s">
        <v>22</v>
      </c>
      <c r="J413" t="s">
        <v>23</v>
      </c>
      <c r="K413">
        <v>1</v>
      </c>
      <c r="L413" s="4">
        <v>1091.51</v>
      </c>
      <c r="M413">
        <v>238.7</v>
      </c>
    </row>
    <row r="414" spans="1:13" x14ac:dyDescent="0.25">
      <c r="A414">
        <v>10413</v>
      </c>
      <c r="B414" t="str">
        <f t="shared" si="12"/>
        <v>Oct</v>
      </c>
      <c r="C414">
        <f t="shared" si="13"/>
        <v>10</v>
      </c>
      <c r="D414" t="s">
        <v>410</v>
      </c>
      <c r="E414" t="s">
        <v>631</v>
      </c>
      <c r="F414" t="s">
        <v>26</v>
      </c>
      <c r="G414" t="s">
        <v>14</v>
      </c>
      <c r="H414" t="s">
        <v>15</v>
      </c>
      <c r="I414" t="s">
        <v>27</v>
      </c>
      <c r="J414" t="s">
        <v>118</v>
      </c>
      <c r="K414">
        <v>2</v>
      </c>
      <c r="L414" s="4">
        <v>556.63</v>
      </c>
      <c r="M414">
        <v>29.39</v>
      </c>
    </row>
    <row r="415" spans="1:13" x14ac:dyDescent="0.25">
      <c r="A415">
        <v>10414</v>
      </c>
      <c r="B415" t="str">
        <f t="shared" si="12"/>
        <v>Jul</v>
      </c>
      <c r="C415">
        <f t="shared" si="13"/>
        <v>7</v>
      </c>
      <c r="D415" t="s">
        <v>563</v>
      </c>
      <c r="E415" t="s">
        <v>632</v>
      </c>
      <c r="F415" t="s">
        <v>13</v>
      </c>
      <c r="G415" t="s">
        <v>20</v>
      </c>
      <c r="H415" t="s">
        <v>76</v>
      </c>
      <c r="I415" t="s">
        <v>27</v>
      </c>
      <c r="J415" t="s">
        <v>118</v>
      </c>
      <c r="K415">
        <v>7</v>
      </c>
      <c r="L415" s="4">
        <v>1224.48</v>
      </c>
      <c r="M415">
        <v>227.87</v>
      </c>
    </row>
    <row r="416" spans="1:13" x14ac:dyDescent="0.25">
      <c r="A416">
        <v>10415</v>
      </c>
      <c r="B416" t="str">
        <f t="shared" si="12"/>
        <v>Nov</v>
      </c>
      <c r="C416">
        <f t="shared" si="13"/>
        <v>11</v>
      </c>
      <c r="D416" t="s">
        <v>429</v>
      </c>
      <c r="E416" t="s">
        <v>45</v>
      </c>
      <c r="F416" t="s">
        <v>13</v>
      </c>
      <c r="G416" t="s">
        <v>14</v>
      </c>
      <c r="H416" t="s">
        <v>37</v>
      </c>
      <c r="I416" t="s">
        <v>22</v>
      </c>
      <c r="J416" t="s">
        <v>38</v>
      </c>
      <c r="K416">
        <v>8</v>
      </c>
      <c r="L416" s="4">
        <v>3852.71</v>
      </c>
      <c r="M416">
        <v>1060.83</v>
      </c>
    </row>
    <row r="417" spans="1:13" x14ac:dyDescent="0.25">
      <c r="A417">
        <v>10416</v>
      </c>
      <c r="B417" t="str">
        <f t="shared" si="12"/>
        <v>Dec</v>
      </c>
      <c r="C417">
        <f t="shared" si="13"/>
        <v>12</v>
      </c>
      <c r="D417" t="s">
        <v>121</v>
      </c>
      <c r="E417" t="s">
        <v>633</v>
      </c>
      <c r="F417" t="s">
        <v>13</v>
      </c>
      <c r="G417" t="s">
        <v>20</v>
      </c>
      <c r="H417" t="s">
        <v>76</v>
      </c>
      <c r="I417" t="s">
        <v>22</v>
      </c>
      <c r="J417" t="s">
        <v>23</v>
      </c>
      <c r="K417">
        <v>1</v>
      </c>
      <c r="L417" s="4">
        <v>2932.14</v>
      </c>
      <c r="M417">
        <v>232.26</v>
      </c>
    </row>
    <row r="418" spans="1:13" x14ac:dyDescent="0.25">
      <c r="A418">
        <v>10417</v>
      </c>
      <c r="B418" t="str">
        <f t="shared" si="12"/>
        <v>Oct</v>
      </c>
      <c r="C418">
        <f t="shared" si="13"/>
        <v>10</v>
      </c>
      <c r="D418" t="s">
        <v>110</v>
      </c>
      <c r="E418" t="s">
        <v>634</v>
      </c>
      <c r="F418" t="s">
        <v>13</v>
      </c>
      <c r="G418" t="s">
        <v>32</v>
      </c>
      <c r="H418" t="s">
        <v>54</v>
      </c>
      <c r="I418" t="s">
        <v>27</v>
      </c>
      <c r="J418" t="s">
        <v>118</v>
      </c>
      <c r="K418">
        <v>3</v>
      </c>
      <c r="L418" s="4">
        <v>2187.75</v>
      </c>
      <c r="M418">
        <v>403.42</v>
      </c>
    </row>
    <row r="419" spans="1:13" x14ac:dyDescent="0.25">
      <c r="A419">
        <v>10418</v>
      </c>
      <c r="B419" t="str">
        <f t="shared" si="12"/>
        <v>Jul</v>
      </c>
      <c r="C419">
        <f t="shared" si="13"/>
        <v>7</v>
      </c>
      <c r="D419" t="s">
        <v>635</v>
      </c>
      <c r="E419" t="s">
        <v>636</v>
      </c>
      <c r="F419" t="s">
        <v>13</v>
      </c>
      <c r="G419" t="s">
        <v>32</v>
      </c>
      <c r="H419" t="s">
        <v>54</v>
      </c>
      <c r="I419" t="s">
        <v>16</v>
      </c>
      <c r="J419" t="s">
        <v>51</v>
      </c>
      <c r="K419">
        <v>4</v>
      </c>
      <c r="L419" s="4">
        <v>2124.8200000000002</v>
      </c>
      <c r="M419">
        <v>474.35</v>
      </c>
    </row>
    <row r="420" spans="1:13" x14ac:dyDescent="0.25">
      <c r="A420">
        <v>10419</v>
      </c>
      <c r="B420" t="str">
        <f t="shared" si="12"/>
        <v>Apr</v>
      </c>
      <c r="C420">
        <f t="shared" si="13"/>
        <v>4</v>
      </c>
      <c r="D420" t="s">
        <v>637</v>
      </c>
      <c r="E420" t="s">
        <v>638</v>
      </c>
      <c r="F420" t="s">
        <v>13</v>
      </c>
      <c r="G420" t="s">
        <v>20</v>
      </c>
      <c r="H420" t="s">
        <v>76</v>
      </c>
      <c r="I420" t="s">
        <v>27</v>
      </c>
      <c r="J420" t="s">
        <v>28</v>
      </c>
      <c r="K420">
        <v>7</v>
      </c>
      <c r="L420" s="4">
        <v>3705.33</v>
      </c>
      <c r="M420">
        <v>911.35</v>
      </c>
    </row>
    <row r="421" spans="1:13" x14ac:dyDescent="0.25">
      <c r="A421">
        <v>10420</v>
      </c>
      <c r="B421" t="str">
        <f t="shared" si="12"/>
        <v>Jan</v>
      </c>
      <c r="C421">
        <f t="shared" si="13"/>
        <v>1</v>
      </c>
      <c r="D421" t="s">
        <v>639</v>
      </c>
      <c r="E421" t="s">
        <v>640</v>
      </c>
      <c r="F421" t="s">
        <v>31</v>
      </c>
      <c r="G421" t="s">
        <v>46</v>
      </c>
      <c r="H421" t="s">
        <v>71</v>
      </c>
      <c r="I421" t="s">
        <v>22</v>
      </c>
      <c r="J421" t="s">
        <v>34</v>
      </c>
      <c r="K421">
        <v>6</v>
      </c>
      <c r="L421" s="4">
        <v>4024.18</v>
      </c>
      <c r="M421">
        <v>750.49</v>
      </c>
    </row>
    <row r="422" spans="1:13" x14ac:dyDescent="0.25">
      <c r="A422">
        <v>10421</v>
      </c>
      <c r="B422" t="str">
        <f t="shared" si="12"/>
        <v>Nov</v>
      </c>
      <c r="C422">
        <f t="shared" si="13"/>
        <v>11</v>
      </c>
      <c r="D422" t="s">
        <v>294</v>
      </c>
      <c r="E422" t="s">
        <v>284</v>
      </c>
      <c r="F422" t="s">
        <v>13</v>
      </c>
      <c r="G422" t="s">
        <v>14</v>
      </c>
      <c r="H422" t="s">
        <v>15</v>
      </c>
      <c r="I422" t="s">
        <v>22</v>
      </c>
      <c r="J422" t="s">
        <v>34</v>
      </c>
      <c r="K422">
        <v>7</v>
      </c>
      <c r="L422" s="4">
        <v>531.89</v>
      </c>
      <c r="M422">
        <v>24.49</v>
      </c>
    </row>
    <row r="423" spans="1:13" x14ac:dyDescent="0.25">
      <c r="A423">
        <v>10422</v>
      </c>
      <c r="B423" t="str">
        <f t="shared" si="12"/>
        <v>Aug</v>
      </c>
      <c r="C423">
        <f t="shared" si="13"/>
        <v>8</v>
      </c>
      <c r="D423" t="s">
        <v>641</v>
      </c>
      <c r="E423" t="s">
        <v>434</v>
      </c>
      <c r="F423" t="s">
        <v>26</v>
      </c>
      <c r="G423" t="s">
        <v>20</v>
      </c>
      <c r="H423" t="s">
        <v>76</v>
      </c>
      <c r="I423" t="s">
        <v>16</v>
      </c>
      <c r="J423" t="s">
        <v>17</v>
      </c>
      <c r="K423">
        <v>1</v>
      </c>
      <c r="L423" s="4">
        <v>4734.01</v>
      </c>
      <c r="M423">
        <v>1143.4100000000001</v>
      </c>
    </row>
    <row r="424" spans="1:13" x14ac:dyDescent="0.25">
      <c r="A424">
        <v>10423</v>
      </c>
      <c r="B424" t="str">
        <f t="shared" si="12"/>
        <v>Mar</v>
      </c>
      <c r="C424">
        <f t="shared" si="13"/>
        <v>3</v>
      </c>
      <c r="D424" t="s">
        <v>319</v>
      </c>
      <c r="E424" t="s">
        <v>642</v>
      </c>
      <c r="F424" t="s">
        <v>31</v>
      </c>
      <c r="G424" t="s">
        <v>32</v>
      </c>
      <c r="H424" t="s">
        <v>33</v>
      </c>
      <c r="I424" t="s">
        <v>22</v>
      </c>
      <c r="J424" t="s">
        <v>48</v>
      </c>
      <c r="K424">
        <v>3</v>
      </c>
      <c r="L424" s="4">
        <v>3402.72</v>
      </c>
      <c r="M424">
        <v>410.66</v>
      </c>
    </row>
    <row r="425" spans="1:13" x14ac:dyDescent="0.25">
      <c r="A425">
        <v>10424</v>
      </c>
      <c r="B425" t="str">
        <f t="shared" si="12"/>
        <v>Feb</v>
      </c>
      <c r="C425">
        <f t="shared" si="13"/>
        <v>2</v>
      </c>
      <c r="D425" t="s">
        <v>86</v>
      </c>
      <c r="E425" t="s">
        <v>222</v>
      </c>
      <c r="F425" t="s">
        <v>13</v>
      </c>
      <c r="G425" t="s">
        <v>20</v>
      </c>
      <c r="H425" t="s">
        <v>76</v>
      </c>
      <c r="I425" t="s">
        <v>16</v>
      </c>
      <c r="J425" t="s">
        <v>51</v>
      </c>
      <c r="K425">
        <v>7</v>
      </c>
      <c r="L425" s="4">
        <v>2971.79</v>
      </c>
      <c r="M425">
        <v>459.55</v>
      </c>
    </row>
    <row r="426" spans="1:13" x14ac:dyDescent="0.25">
      <c r="A426">
        <v>10425</v>
      </c>
      <c r="B426" t="str">
        <f t="shared" si="12"/>
        <v>Oct</v>
      </c>
      <c r="C426">
        <f t="shared" si="13"/>
        <v>10</v>
      </c>
      <c r="D426" t="s">
        <v>183</v>
      </c>
      <c r="E426" t="s">
        <v>568</v>
      </c>
      <c r="F426" t="s">
        <v>31</v>
      </c>
      <c r="G426" t="s">
        <v>32</v>
      </c>
      <c r="H426" t="s">
        <v>54</v>
      </c>
      <c r="I426" t="s">
        <v>27</v>
      </c>
      <c r="J426" t="s">
        <v>28</v>
      </c>
      <c r="K426">
        <v>4</v>
      </c>
      <c r="L426" s="4">
        <v>3071.18</v>
      </c>
      <c r="M426">
        <v>209.94</v>
      </c>
    </row>
    <row r="427" spans="1:13" x14ac:dyDescent="0.25">
      <c r="A427">
        <v>10426</v>
      </c>
      <c r="B427" t="str">
        <f t="shared" si="12"/>
        <v>Sep</v>
      </c>
      <c r="C427">
        <f t="shared" si="13"/>
        <v>9</v>
      </c>
      <c r="D427" t="s">
        <v>499</v>
      </c>
      <c r="E427" t="s">
        <v>643</v>
      </c>
      <c r="F427" t="s">
        <v>13</v>
      </c>
      <c r="G427" t="s">
        <v>46</v>
      </c>
      <c r="H427" t="s">
        <v>47</v>
      </c>
      <c r="I427" t="s">
        <v>16</v>
      </c>
      <c r="J427" t="s">
        <v>81</v>
      </c>
      <c r="K427">
        <v>2</v>
      </c>
      <c r="L427" s="4">
        <v>2565.5300000000002</v>
      </c>
      <c r="M427">
        <v>334.62</v>
      </c>
    </row>
    <row r="428" spans="1:13" x14ac:dyDescent="0.25">
      <c r="A428">
        <v>10427</v>
      </c>
      <c r="B428" t="str">
        <f t="shared" si="12"/>
        <v>Aug</v>
      </c>
      <c r="C428">
        <f t="shared" si="13"/>
        <v>8</v>
      </c>
      <c r="D428" t="s">
        <v>644</v>
      </c>
      <c r="E428" t="s">
        <v>549</v>
      </c>
      <c r="F428" t="s">
        <v>26</v>
      </c>
      <c r="G428" t="s">
        <v>32</v>
      </c>
      <c r="H428" t="s">
        <v>54</v>
      </c>
      <c r="I428" t="s">
        <v>27</v>
      </c>
      <c r="J428" t="s">
        <v>77</v>
      </c>
      <c r="K428">
        <v>4</v>
      </c>
      <c r="L428" s="4">
        <v>3811.62</v>
      </c>
      <c r="M428">
        <v>1060.67</v>
      </c>
    </row>
    <row r="429" spans="1:13" x14ac:dyDescent="0.25">
      <c r="A429">
        <v>10428</v>
      </c>
      <c r="B429" t="str">
        <f t="shared" si="12"/>
        <v>Apr</v>
      </c>
      <c r="C429">
        <f t="shared" si="13"/>
        <v>4</v>
      </c>
      <c r="D429" t="s">
        <v>637</v>
      </c>
      <c r="E429" t="s">
        <v>645</v>
      </c>
      <c r="F429" t="s">
        <v>31</v>
      </c>
      <c r="G429" t="s">
        <v>20</v>
      </c>
      <c r="H429" t="s">
        <v>21</v>
      </c>
      <c r="I429" t="s">
        <v>27</v>
      </c>
      <c r="J429" t="s">
        <v>118</v>
      </c>
      <c r="K429">
        <v>7</v>
      </c>
      <c r="L429" s="4">
        <v>3204.94</v>
      </c>
      <c r="M429">
        <v>889.14</v>
      </c>
    </row>
    <row r="430" spans="1:13" x14ac:dyDescent="0.25">
      <c r="A430">
        <v>10429</v>
      </c>
      <c r="B430" t="str">
        <f t="shared" si="12"/>
        <v>Jun</v>
      </c>
      <c r="C430">
        <f t="shared" si="13"/>
        <v>6</v>
      </c>
      <c r="D430" t="s">
        <v>274</v>
      </c>
      <c r="E430" t="s">
        <v>270</v>
      </c>
      <c r="F430" t="s">
        <v>13</v>
      </c>
      <c r="G430" t="s">
        <v>20</v>
      </c>
      <c r="H430" t="s">
        <v>76</v>
      </c>
      <c r="I430" t="s">
        <v>16</v>
      </c>
      <c r="J430" t="s">
        <v>81</v>
      </c>
      <c r="K430">
        <v>5</v>
      </c>
      <c r="L430" s="4">
        <v>1316.46</v>
      </c>
      <c r="M430">
        <v>29.06</v>
      </c>
    </row>
    <row r="431" spans="1:13" x14ac:dyDescent="0.25">
      <c r="A431">
        <v>10430</v>
      </c>
      <c r="B431" t="str">
        <f t="shared" si="12"/>
        <v>Dec</v>
      </c>
      <c r="C431">
        <f t="shared" si="13"/>
        <v>12</v>
      </c>
      <c r="D431" t="s">
        <v>213</v>
      </c>
      <c r="E431" t="s">
        <v>646</v>
      </c>
      <c r="F431" t="s">
        <v>31</v>
      </c>
      <c r="G431" t="s">
        <v>46</v>
      </c>
      <c r="H431" t="s">
        <v>47</v>
      </c>
      <c r="I431" t="s">
        <v>27</v>
      </c>
      <c r="J431" t="s">
        <v>28</v>
      </c>
      <c r="K431">
        <v>4</v>
      </c>
      <c r="L431" s="4">
        <v>4482.1499999999996</v>
      </c>
      <c r="M431">
        <v>430.91</v>
      </c>
    </row>
    <row r="432" spans="1:13" x14ac:dyDescent="0.25">
      <c r="A432">
        <v>10431</v>
      </c>
      <c r="B432" t="str">
        <f t="shared" si="12"/>
        <v>Nov</v>
      </c>
      <c r="C432">
        <f t="shared" si="13"/>
        <v>11</v>
      </c>
      <c r="D432" t="s">
        <v>264</v>
      </c>
      <c r="E432" t="s">
        <v>647</v>
      </c>
      <c r="F432" t="s">
        <v>26</v>
      </c>
      <c r="G432" t="s">
        <v>46</v>
      </c>
      <c r="H432" t="s">
        <v>71</v>
      </c>
      <c r="I432" t="s">
        <v>16</v>
      </c>
      <c r="J432" t="s">
        <v>43</v>
      </c>
      <c r="K432">
        <v>5</v>
      </c>
      <c r="L432" s="4">
        <v>1113.22</v>
      </c>
      <c r="M432">
        <v>87.12</v>
      </c>
    </row>
    <row r="433" spans="1:13" x14ac:dyDescent="0.25">
      <c r="A433">
        <v>10432</v>
      </c>
      <c r="B433" t="str">
        <f t="shared" si="12"/>
        <v>Sep</v>
      </c>
      <c r="C433">
        <f t="shared" si="13"/>
        <v>9</v>
      </c>
      <c r="D433" t="s">
        <v>648</v>
      </c>
      <c r="E433" t="s">
        <v>649</v>
      </c>
      <c r="F433" t="s">
        <v>13</v>
      </c>
      <c r="G433" t="s">
        <v>14</v>
      </c>
      <c r="H433" t="s">
        <v>15</v>
      </c>
      <c r="I433" t="s">
        <v>22</v>
      </c>
      <c r="J433" t="s">
        <v>34</v>
      </c>
      <c r="K433">
        <v>1</v>
      </c>
      <c r="L433" s="4">
        <v>3844.8</v>
      </c>
      <c r="M433">
        <v>708.48</v>
      </c>
    </row>
    <row r="434" spans="1:13" x14ac:dyDescent="0.25">
      <c r="A434">
        <v>10433</v>
      </c>
      <c r="B434" t="str">
        <f t="shared" si="12"/>
        <v>Jul</v>
      </c>
      <c r="C434">
        <f t="shared" si="13"/>
        <v>7</v>
      </c>
      <c r="D434" t="s">
        <v>477</v>
      </c>
      <c r="E434" t="s">
        <v>650</v>
      </c>
      <c r="F434" t="s">
        <v>13</v>
      </c>
      <c r="G434" t="s">
        <v>32</v>
      </c>
      <c r="H434" t="s">
        <v>54</v>
      </c>
      <c r="I434" t="s">
        <v>16</v>
      </c>
      <c r="J434" t="s">
        <v>17</v>
      </c>
      <c r="K434">
        <v>8</v>
      </c>
      <c r="L434" s="4">
        <v>996.07</v>
      </c>
      <c r="M434">
        <v>189</v>
      </c>
    </row>
    <row r="435" spans="1:13" x14ac:dyDescent="0.25">
      <c r="A435">
        <v>10434</v>
      </c>
      <c r="B435" t="str">
        <f t="shared" si="12"/>
        <v>Dec</v>
      </c>
      <c r="C435">
        <f t="shared" si="13"/>
        <v>12</v>
      </c>
      <c r="D435" t="s">
        <v>96</v>
      </c>
      <c r="E435" t="s">
        <v>453</v>
      </c>
      <c r="F435" t="s">
        <v>26</v>
      </c>
      <c r="G435" t="s">
        <v>46</v>
      </c>
      <c r="H435" t="s">
        <v>71</v>
      </c>
      <c r="I435" t="s">
        <v>16</v>
      </c>
      <c r="J435" t="s">
        <v>51</v>
      </c>
      <c r="K435">
        <v>8</v>
      </c>
      <c r="L435" s="4">
        <v>4704.3100000000004</v>
      </c>
      <c r="M435">
        <v>238.78</v>
      </c>
    </row>
    <row r="436" spans="1:13" x14ac:dyDescent="0.25">
      <c r="A436">
        <v>10435</v>
      </c>
      <c r="B436" t="str">
        <f t="shared" si="12"/>
        <v>Oct</v>
      </c>
      <c r="C436">
        <f t="shared" si="13"/>
        <v>10</v>
      </c>
      <c r="D436" t="s">
        <v>161</v>
      </c>
      <c r="E436" t="s">
        <v>651</v>
      </c>
      <c r="F436" t="s">
        <v>31</v>
      </c>
      <c r="G436" t="s">
        <v>20</v>
      </c>
      <c r="H436" t="s">
        <v>21</v>
      </c>
      <c r="I436" t="s">
        <v>16</v>
      </c>
      <c r="J436" t="s">
        <v>51</v>
      </c>
      <c r="K436">
        <v>6</v>
      </c>
      <c r="L436" s="4">
        <v>3477.13</v>
      </c>
      <c r="M436">
        <v>163.06</v>
      </c>
    </row>
    <row r="437" spans="1:13" x14ac:dyDescent="0.25">
      <c r="A437">
        <v>10436</v>
      </c>
      <c r="B437" t="str">
        <f t="shared" si="12"/>
        <v>Apr</v>
      </c>
      <c r="C437">
        <f t="shared" si="13"/>
        <v>4</v>
      </c>
      <c r="D437" t="s">
        <v>652</v>
      </c>
      <c r="E437" t="s">
        <v>653</v>
      </c>
      <c r="F437" t="s">
        <v>31</v>
      </c>
      <c r="G437" t="s">
        <v>32</v>
      </c>
      <c r="H437" t="s">
        <v>54</v>
      </c>
      <c r="I437" t="s">
        <v>22</v>
      </c>
      <c r="J437" t="s">
        <v>38</v>
      </c>
      <c r="K437">
        <v>4</v>
      </c>
      <c r="L437" s="4">
        <v>1420.1</v>
      </c>
      <c r="M437">
        <v>377</v>
      </c>
    </row>
    <row r="438" spans="1:13" x14ac:dyDescent="0.25">
      <c r="A438">
        <v>10437</v>
      </c>
      <c r="B438" t="str">
        <f t="shared" si="12"/>
        <v>Mar</v>
      </c>
      <c r="C438">
        <f t="shared" si="13"/>
        <v>3</v>
      </c>
      <c r="D438" t="s">
        <v>221</v>
      </c>
      <c r="E438" t="s">
        <v>150</v>
      </c>
      <c r="F438" t="s">
        <v>13</v>
      </c>
      <c r="G438" t="s">
        <v>46</v>
      </c>
      <c r="H438" t="s">
        <v>47</v>
      </c>
      <c r="I438" t="s">
        <v>16</v>
      </c>
      <c r="J438" t="s">
        <v>17</v>
      </c>
      <c r="K438">
        <v>6</v>
      </c>
      <c r="L438" s="4">
        <v>4286.2</v>
      </c>
      <c r="M438">
        <v>495.96</v>
      </c>
    </row>
    <row r="439" spans="1:13" x14ac:dyDescent="0.25">
      <c r="A439">
        <v>10438</v>
      </c>
      <c r="B439" t="str">
        <f t="shared" si="12"/>
        <v>Mar</v>
      </c>
      <c r="C439">
        <f t="shared" si="13"/>
        <v>3</v>
      </c>
      <c r="D439" t="s">
        <v>100</v>
      </c>
      <c r="E439" t="s">
        <v>654</v>
      </c>
      <c r="F439" t="s">
        <v>26</v>
      </c>
      <c r="G439" t="s">
        <v>46</v>
      </c>
      <c r="H439" t="s">
        <v>71</v>
      </c>
      <c r="I439" t="s">
        <v>16</v>
      </c>
      <c r="J439" t="s">
        <v>17</v>
      </c>
      <c r="K439">
        <v>4</v>
      </c>
      <c r="L439" s="4">
        <v>2821.17</v>
      </c>
      <c r="M439">
        <v>725.4</v>
      </c>
    </row>
    <row r="440" spans="1:13" x14ac:dyDescent="0.25">
      <c r="A440">
        <v>10439</v>
      </c>
      <c r="B440" t="str">
        <f t="shared" si="12"/>
        <v>Oct</v>
      </c>
      <c r="C440">
        <f t="shared" si="13"/>
        <v>10</v>
      </c>
      <c r="D440" t="s">
        <v>44</v>
      </c>
      <c r="E440" t="s">
        <v>655</v>
      </c>
      <c r="F440" t="s">
        <v>31</v>
      </c>
      <c r="G440" t="s">
        <v>46</v>
      </c>
      <c r="H440" t="s">
        <v>47</v>
      </c>
      <c r="I440" t="s">
        <v>27</v>
      </c>
      <c r="J440" t="s">
        <v>104</v>
      </c>
      <c r="K440">
        <v>6</v>
      </c>
      <c r="L440" s="4">
        <v>3948.13</v>
      </c>
      <c r="M440">
        <v>437.34</v>
      </c>
    </row>
    <row r="441" spans="1:13" x14ac:dyDescent="0.25">
      <c r="A441">
        <v>10440</v>
      </c>
      <c r="B441" t="str">
        <f t="shared" si="12"/>
        <v>Jun</v>
      </c>
      <c r="C441">
        <f t="shared" si="13"/>
        <v>6</v>
      </c>
      <c r="D441" t="s">
        <v>132</v>
      </c>
      <c r="E441" t="s">
        <v>656</v>
      </c>
      <c r="F441" t="s">
        <v>31</v>
      </c>
      <c r="G441" t="s">
        <v>14</v>
      </c>
      <c r="H441" t="s">
        <v>15</v>
      </c>
      <c r="I441" t="s">
        <v>22</v>
      </c>
      <c r="J441" t="s">
        <v>48</v>
      </c>
      <c r="K441">
        <v>5</v>
      </c>
      <c r="L441" s="4">
        <v>2435.04</v>
      </c>
      <c r="M441">
        <v>460.2</v>
      </c>
    </row>
    <row r="442" spans="1:13" x14ac:dyDescent="0.25">
      <c r="A442">
        <v>10441</v>
      </c>
      <c r="B442" t="str">
        <f t="shared" si="12"/>
        <v>Apr</v>
      </c>
      <c r="C442">
        <f t="shared" si="13"/>
        <v>4</v>
      </c>
      <c r="D442" t="s">
        <v>547</v>
      </c>
      <c r="E442" t="s">
        <v>657</v>
      </c>
      <c r="F442" t="s">
        <v>13</v>
      </c>
      <c r="G442" t="s">
        <v>32</v>
      </c>
      <c r="H442" t="s">
        <v>54</v>
      </c>
      <c r="I442" t="s">
        <v>27</v>
      </c>
      <c r="J442" t="s">
        <v>118</v>
      </c>
      <c r="K442">
        <v>7</v>
      </c>
      <c r="L442" s="4">
        <v>694.06</v>
      </c>
      <c r="M442">
        <v>88.89</v>
      </c>
    </row>
    <row r="443" spans="1:13" x14ac:dyDescent="0.25">
      <c r="A443">
        <v>10442</v>
      </c>
      <c r="B443" t="str">
        <f t="shared" si="12"/>
        <v>Nov</v>
      </c>
      <c r="C443">
        <f t="shared" si="13"/>
        <v>11</v>
      </c>
      <c r="D443" t="s">
        <v>658</v>
      </c>
      <c r="E443" t="s">
        <v>659</v>
      </c>
      <c r="F443" t="s">
        <v>31</v>
      </c>
      <c r="G443" t="s">
        <v>46</v>
      </c>
      <c r="H443" t="s">
        <v>47</v>
      </c>
      <c r="I443" t="s">
        <v>27</v>
      </c>
      <c r="J443" t="s">
        <v>28</v>
      </c>
      <c r="K443">
        <v>8</v>
      </c>
      <c r="L443" s="4">
        <v>3896.25</v>
      </c>
      <c r="M443">
        <v>622.30999999999995</v>
      </c>
    </row>
    <row r="444" spans="1:13" x14ac:dyDescent="0.25">
      <c r="A444">
        <v>10443</v>
      </c>
      <c r="B444" t="str">
        <f t="shared" si="12"/>
        <v>Feb</v>
      </c>
      <c r="C444">
        <f t="shared" si="13"/>
        <v>2</v>
      </c>
      <c r="D444" t="s">
        <v>467</v>
      </c>
      <c r="E444" t="s">
        <v>660</v>
      </c>
      <c r="F444" t="s">
        <v>26</v>
      </c>
      <c r="G444" t="s">
        <v>46</v>
      </c>
      <c r="H444" t="s">
        <v>71</v>
      </c>
      <c r="I444" t="s">
        <v>16</v>
      </c>
      <c r="J444" t="s">
        <v>17</v>
      </c>
      <c r="K444">
        <v>7</v>
      </c>
      <c r="L444" s="4">
        <v>3193.24</v>
      </c>
      <c r="M444">
        <v>531.12</v>
      </c>
    </row>
    <row r="445" spans="1:13" x14ac:dyDescent="0.25">
      <c r="A445">
        <v>10444</v>
      </c>
      <c r="B445" t="str">
        <f t="shared" si="12"/>
        <v>Aug</v>
      </c>
      <c r="C445">
        <f t="shared" si="13"/>
        <v>8</v>
      </c>
      <c r="D445" t="s">
        <v>310</v>
      </c>
      <c r="E445" t="s">
        <v>661</v>
      </c>
      <c r="F445" t="s">
        <v>31</v>
      </c>
      <c r="G445" t="s">
        <v>32</v>
      </c>
      <c r="H445" t="s">
        <v>33</v>
      </c>
      <c r="I445" t="s">
        <v>27</v>
      </c>
      <c r="J445" t="s">
        <v>28</v>
      </c>
      <c r="K445">
        <v>5</v>
      </c>
      <c r="L445" s="4">
        <v>3581.12</v>
      </c>
      <c r="M445">
        <v>681.5</v>
      </c>
    </row>
    <row r="446" spans="1:13" x14ac:dyDescent="0.25">
      <c r="A446">
        <v>10445</v>
      </c>
      <c r="B446" t="str">
        <f t="shared" si="12"/>
        <v>Dec</v>
      </c>
      <c r="C446">
        <f t="shared" si="13"/>
        <v>12</v>
      </c>
      <c r="D446" t="s">
        <v>662</v>
      </c>
      <c r="E446" t="s">
        <v>663</v>
      </c>
      <c r="F446" t="s">
        <v>26</v>
      </c>
      <c r="G446" t="s">
        <v>20</v>
      </c>
      <c r="H446" t="s">
        <v>76</v>
      </c>
      <c r="I446" t="s">
        <v>22</v>
      </c>
      <c r="J446" t="s">
        <v>48</v>
      </c>
      <c r="K446">
        <v>1</v>
      </c>
      <c r="L446" s="4">
        <v>712.7</v>
      </c>
      <c r="M446">
        <v>52.27</v>
      </c>
    </row>
    <row r="447" spans="1:13" x14ac:dyDescent="0.25">
      <c r="A447">
        <v>10446</v>
      </c>
      <c r="B447" t="str">
        <f t="shared" si="12"/>
        <v>Jan</v>
      </c>
      <c r="C447">
        <f t="shared" si="13"/>
        <v>1</v>
      </c>
      <c r="D447" t="s">
        <v>664</v>
      </c>
      <c r="E447" t="s">
        <v>331</v>
      </c>
      <c r="F447" t="s">
        <v>31</v>
      </c>
      <c r="G447" t="s">
        <v>46</v>
      </c>
      <c r="H447" t="s">
        <v>71</v>
      </c>
      <c r="I447" t="s">
        <v>27</v>
      </c>
      <c r="J447" t="s">
        <v>118</v>
      </c>
      <c r="K447">
        <v>2</v>
      </c>
      <c r="L447" s="4">
        <v>412.58</v>
      </c>
      <c r="M447">
        <v>56.42</v>
      </c>
    </row>
    <row r="448" spans="1:13" x14ac:dyDescent="0.25">
      <c r="A448">
        <v>10447</v>
      </c>
      <c r="B448" t="str">
        <f t="shared" si="12"/>
        <v>May</v>
      </c>
      <c r="C448">
        <f t="shared" si="13"/>
        <v>5</v>
      </c>
      <c r="D448" t="s">
        <v>665</v>
      </c>
      <c r="E448" t="s">
        <v>666</v>
      </c>
      <c r="F448" t="s">
        <v>31</v>
      </c>
      <c r="G448" t="s">
        <v>14</v>
      </c>
      <c r="H448" t="s">
        <v>15</v>
      </c>
      <c r="I448" t="s">
        <v>27</v>
      </c>
      <c r="J448" t="s">
        <v>104</v>
      </c>
      <c r="K448">
        <v>2</v>
      </c>
      <c r="L448" s="4">
        <v>3308.68</v>
      </c>
      <c r="M448">
        <v>866.93</v>
      </c>
    </row>
    <row r="449" spans="1:13" x14ac:dyDescent="0.25">
      <c r="A449">
        <v>10448</v>
      </c>
      <c r="B449" t="str">
        <f t="shared" si="12"/>
        <v>Sep</v>
      </c>
      <c r="C449">
        <f t="shared" si="13"/>
        <v>9</v>
      </c>
      <c r="D449" t="s">
        <v>124</v>
      </c>
      <c r="E449" t="s">
        <v>667</v>
      </c>
      <c r="F449" t="s">
        <v>13</v>
      </c>
      <c r="G449" t="s">
        <v>20</v>
      </c>
      <c r="H449" t="s">
        <v>21</v>
      </c>
      <c r="I449" t="s">
        <v>22</v>
      </c>
      <c r="J449" t="s">
        <v>48</v>
      </c>
      <c r="K449">
        <v>1</v>
      </c>
      <c r="L449" s="4">
        <v>272.26</v>
      </c>
      <c r="M449">
        <v>-53.63</v>
      </c>
    </row>
    <row r="450" spans="1:13" x14ac:dyDescent="0.25">
      <c r="A450">
        <v>10449</v>
      </c>
      <c r="B450" t="str">
        <f t="shared" ref="B450:B513" si="14">TEXT(D450,"mmm")</f>
        <v>Sep</v>
      </c>
      <c r="C450">
        <f t="shared" ref="C450:C513" si="15">MONTH(D450)</f>
        <v>9</v>
      </c>
      <c r="D450" t="s">
        <v>165</v>
      </c>
      <c r="E450" t="s">
        <v>325</v>
      </c>
      <c r="F450" t="s">
        <v>13</v>
      </c>
      <c r="G450" t="s">
        <v>32</v>
      </c>
      <c r="H450" t="s">
        <v>54</v>
      </c>
      <c r="I450" t="s">
        <v>22</v>
      </c>
      <c r="J450" t="s">
        <v>48</v>
      </c>
      <c r="K450">
        <v>8</v>
      </c>
      <c r="L450" s="4">
        <v>3192.13</v>
      </c>
      <c r="M450">
        <v>610.64</v>
      </c>
    </row>
    <row r="451" spans="1:13" x14ac:dyDescent="0.25">
      <c r="A451">
        <v>10450</v>
      </c>
      <c r="B451" t="str">
        <f t="shared" si="14"/>
        <v>Jun</v>
      </c>
      <c r="C451">
        <f t="shared" si="15"/>
        <v>6</v>
      </c>
      <c r="D451" t="s">
        <v>491</v>
      </c>
      <c r="E451" t="s">
        <v>434</v>
      </c>
      <c r="F451" t="s">
        <v>26</v>
      </c>
      <c r="G451" t="s">
        <v>32</v>
      </c>
      <c r="H451" t="s">
        <v>54</v>
      </c>
      <c r="I451" t="s">
        <v>27</v>
      </c>
      <c r="J451" t="s">
        <v>104</v>
      </c>
      <c r="K451">
        <v>2</v>
      </c>
      <c r="L451" s="4">
        <v>2265.12</v>
      </c>
      <c r="M451">
        <v>294.41000000000003</v>
      </c>
    </row>
    <row r="452" spans="1:13" x14ac:dyDescent="0.25">
      <c r="A452">
        <v>10451</v>
      </c>
      <c r="B452" t="str">
        <f t="shared" si="14"/>
        <v>Jun</v>
      </c>
      <c r="C452">
        <f t="shared" si="15"/>
        <v>6</v>
      </c>
      <c r="D452" t="s">
        <v>116</v>
      </c>
      <c r="E452" t="s">
        <v>91</v>
      </c>
      <c r="F452" t="s">
        <v>31</v>
      </c>
      <c r="G452" t="s">
        <v>46</v>
      </c>
      <c r="H452" t="s">
        <v>47</v>
      </c>
      <c r="I452" t="s">
        <v>27</v>
      </c>
      <c r="J452" t="s">
        <v>77</v>
      </c>
      <c r="K452">
        <v>1</v>
      </c>
      <c r="L452" s="4">
        <v>3470.07</v>
      </c>
      <c r="M452">
        <v>524.72</v>
      </c>
    </row>
    <row r="453" spans="1:13" x14ac:dyDescent="0.25">
      <c r="A453">
        <v>10452</v>
      </c>
      <c r="B453" t="str">
        <f t="shared" si="14"/>
        <v>Mar</v>
      </c>
      <c r="C453">
        <f t="shared" si="15"/>
        <v>3</v>
      </c>
      <c r="D453" t="s">
        <v>668</v>
      </c>
      <c r="E453" t="s">
        <v>669</v>
      </c>
      <c r="F453" t="s">
        <v>13</v>
      </c>
      <c r="G453" t="s">
        <v>32</v>
      </c>
      <c r="H453" t="s">
        <v>33</v>
      </c>
      <c r="I453" t="s">
        <v>22</v>
      </c>
      <c r="J453" t="s">
        <v>38</v>
      </c>
      <c r="K453">
        <v>4</v>
      </c>
      <c r="L453" s="4">
        <v>2117.5100000000002</v>
      </c>
      <c r="M453">
        <v>363.15</v>
      </c>
    </row>
    <row r="454" spans="1:13" x14ac:dyDescent="0.25">
      <c r="A454">
        <v>10453</v>
      </c>
      <c r="B454" t="str">
        <f t="shared" si="14"/>
        <v>Nov</v>
      </c>
      <c r="C454">
        <f t="shared" si="15"/>
        <v>11</v>
      </c>
      <c r="D454" t="s">
        <v>514</v>
      </c>
      <c r="E454" t="s">
        <v>670</v>
      </c>
      <c r="F454" t="s">
        <v>13</v>
      </c>
      <c r="G454" t="s">
        <v>20</v>
      </c>
      <c r="H454" t="s">
        <v>76</v>
      </c>
      <c r="I454" t="s">
        <v>22</v>
      </c>
      <c r="J454" t="s">
        <v>38</v>
      </c>
      <c r="K454">
        <v>2</v>
      </c>
      <c r="L454" s="4">
        <v>2168.9699999999998</v>
      </c>
      <c r="M454">
        <v>161.9</v>
      </c>
    </row>
    <row r="455" spans="1:13" x14ac:dyDescent="0.25">
      <c r="A455">
        <v>10454</v>
      </c>
      <c r="B455" t="str">
        <f t="shared" si="14"/>
        <v>Feb</v>
      </c>
      <c r="C455">
        <f t="shared" si="15"/>
        <v>2</v>
      </c>
      <c r="D455" t="s">
        <v>671</v>
      </c>
      <c r="E455" t="s">
        <v>99</v>
      </c>
      <c r="F455" t="s">
        <v>31</v>
      </c>
      <c r="G455" t="s">
        <v>32</v>
      </c>
      <c r="H455" t="s">
        <v>54</v>
      </c>
      <c r="I455" t="s">
        <v>16</v>
      </c>
      <c r="J455" t="s">
        <v>17</v>
      </c>
      <c r="K455">
        <v>7</v>
      </c>
      <c r="L455" s="4">
        <v>1021.2</v>
      </c>
      <c r="M455">
        <v>54.88</v>
      </c>
    </row>
    <row r="456" spans="1:13" x14ac:dyDescent="0.25">
      <c r="A456">
        <v>10455</v>
      </c>
      <c r="B456" t="str">
        <f t="shared" si="14"/>
        <v>Jan</v>
      </c>
      <c r="C456">
        <f t="shared" si="15"/>
        <v>1</v>
      </c>
      <c r="D456" t="s">
        <v>627</v>
      </c>
      <c r="E456" t="s">
        <v>414</v>
      </c>
      <c r="F456" t="s">
        <v>26</v>
      </c>
      <c r="G456" t="s">
        <v>20</v>
      </c>
      <c r="H456" t="s">
        <v>76</v>
      </c>
      <c r="I456" t="s">
        <v>16</v>
      </c>
      <c r="J456" t="s">
        <v>51</v>
      </c>
      <c r="K456">
        <v>4</v>
      </c>
      <c r="L456" s="4">
        <v>1671.15</v>
      </c>
      <c r="M456">
        <v>50.15</v>
      </c>
    </row>
    <row r="457" spans="1:13" x14ac:dyDescent="0.25">
      <c r="A457">
        <v>10456</v>
      </c>
      <c r="B457" t="str">
        <f t="shared" si="14"/>
        <v>Jun</v>
      </c>
      <c r="C457">
        <f t="shared" si="15"/>
        <v>6</v>
      </c>
      <c r="D457" t="s">
        <v>274</v>
      </c>
      <c r="E457" t="s">
        <v>476</v>
      </c>
      <c r="F457" t="s">
        <v>31</v>
      </c>
      <c r="G457" t="s">
        <v>32</v>
      </c>
      <c r="H457" t="s">
        <v>54</v>
      </c>
      <c r="I457" t="s">
        <v>22</v>
      </c>
      <c r="J457" t="s">
        <v>34</v>
      </c>
      <c r="K457">
        <v>1</v>
      </c>
      <c r="L457" s="4">
        <v>1240.77</v>
      </c>
      <c r="M457">
        <v>59.42</v>
      </c>
    </row>
    <row r="458" spans="1:13" x14ac:dyDescent="0.25">
      <c r="A458">
        <v>10457</v>
      </c>
      <c r="B458" t="str">
        <f t="shared" si="14"/>
        <v>May</v>
      </c>
      <c r="C458">
        <f t="shared" si="15"/>
        <v>5</v>
      </c>
      <c r="D458" t="s">
        <v>596</v>
      </c>
      <c r="E458" t="s">
        <v>453</v>
      </c>
      <c r="F458" t="s">
        <v>31</v>
      </c>
      <c r="G458" t="s">
        <v>20</v>
      </c>
      <c r="H458" t="s">
        <v>76</v>
      </c>
      <c r="I458" t="s">
        <v>27</v>
      </c>
      <c r="J458" t="s">
        <v>118</v>
      </c>
      <c r="K458">
        <v>6</v>
      </c>
      <c r="L458" s="4">
        <v>493.09</v>
      </c>
      <c r="M458">
        <v>102.57</v>
      </c>
    </row>
    <row r="459" spans="1:13" x14ac:dyDescent="0.25">
      <c r="A459">
        <v>10458</v>
      </c>
      <c r="B459" t="str">
        <f t="shared" si="14"/>
        <v>May</v>
      </c>
      <c r="C459">
        <f t="shared" si="15"/>
        <v>5</v>
      </c>
      <c r="D459" t="s">
        <v>672</v>
      </c>
      <c r="E459" t="s">
        <v>673</v>
      </c>
      <c r="F459" t="s">
        <v>31</v>
      </c>
      <c r="G459" t="s">
        <v>14</v>
      </c>
      <c r="H459" t="s">
        <v>37</v>
      </c>
      <c r="I459" t="s">
        <v>22</v>
      </c>
      <c r="J459" t="s">
        <v>48</v>
      </c>
      <c r="K459">
        <v>5</v>
      </c>
      <c r="L459" s="4">
        <v>4104.53</v>
      </c>
      <c r="M459">
        <v>1042.93</v>
      </c>
    </row>
    <row r="460" spans="1:13" x14ac:dyDescent="0.25">
      <c r="A460">
        <v>10459</v>
      </c>
      <c r="B460" t="str">
        <f t="shared" si="14"/>
        <v>Dec</v>
      </c>
      <c r="C460">
        <f t="shared" si="15"/>
        <v>12</v>
      </c>
      <c r="D460" t="s">
        <v>674</v>
      </c>
      <c r="E460" t="s">
        <v>675</v>
      </c>
      <c r="F460" t="s">
        <v>31</v>
      </c>
      <c r="G460" t="s">
        <v>46</v>
      </c>
      <c r="H460" t="s">
        <v>71</v>
      </c>
      <c r="I460" t="s">
        <v>22</v>
      </c>
      <c r="J460" t="s">
        <v>34</v>
      </c>
      <c r="K460">
        <v>2</v>
      </c>
      <c r="L460" s="4">
        <v>2653.58</v>
      </c>
      <c r="M460">
        <v>736.93</v>
      </c>
    </row>
    <row r="461" spans="1:13" x14ac:dyDescent="0.25">
      <c r="A461">
        <v>10460</v>
      </c>
      <c r="B461" t="str">
        <f t="shared" si="14"/>
        <v>Jan</v>
      </c>
      <c r="C461">
        <f t="shared" si="15"/>
        <v>1</v>
      </c>
      <c r="D461" t="s">
        <v>639</v>
      </c>
      <c r="E461" t="s">
        <v>676</v>
      </c>
      <c r="F461" t="s">
        <v>13</v>
      </c>
      <c r="G461" t="s">
        <v>46</v>
      </c>
      <c r="H461" t="s">
        <v>71</v>
      </c>
      <c r="I461" t="s">
        <v>16</v>
      </c>
      <c r="J461" t="s">
        <v>81</v>
      </c>
      <c r="K461">
        <v>5</v>
      </c>
      <c r="L461" s="4">
        <v>2458.0300000000002</v>
      </c>
      <c r="M461">
        <v>270.48</v>
      </c>
    </row>
    <row r="462" spans="1:13" x14ac:dyDescent="0.25">
      <c r="A462">
        <v>10461</v>
      </c>
      <c r="B462" t="str">
        <f t="shared" si="14"/>
        <v>Jul</v>
      </c>
      <c r="C462">
        <f t="shared" si="15"/>
        <v>7</v>
      </c>
      <c r="D462" t="s">
        <v>677</v>
      </c>
      <c r="E462" t="s">
        <v>678</v>
      </c>
      <c r="F462" t="s">
        <v>26</v>
      </c>
      <c r="G462" t="s">
        <v>46</v>
      </c>
      <c r="H462" t="s">
        <v>71</v>
      </c>
      <c r="I462" t="s">
        <v>22</v>
      </c>
      <c r="J462" t="s">
        <v>34</v>
      </c>
      <c r="K462">
        <v>6</v>
      </c>
      <c r="L462" s="4">
        <v>173.83</v>
      </c>
      <c r="M462">
        <v>-15.26</v>
      </c>
    </row>
    <row r="463" spans="1:13" x14ac:dyDescent="0.25">
      <c r="A463">
        <v>10462</v>
      </c>
      <c r="B463" t="str">
        <f t="shared" si="14"/>
        <v>Feb</v>
      </c>
      <c r="C463">
        <f t="shared" si="15"/>
        <v>2</v>
      </c>
      <c r="D463" t="s">
        <v>52</v>
      </c>
      <c r="E463" t="s">
        <v>574</v>
      </c>
      <c r="F463" t="s">
        <v>13</v>
      </c>
      <c r="G463" t="s">
        <v>14</v>
      </c>
      <c r="H463" t="s">
        <v>15</v>
      </c>
      <c r="I463" t="s">
        <v>16</v>
      </c>
      <c r="J463" t="s">
        <v>51</v>
      </c>
      <c r="K463">
        <v>3</v>
      </c>
      <c r="L463" s="4">
        <v>1919.85</v>
      </c>
      <c r="M463">
        <v>123.17</v>
      </c>
    </row>
    <row r="464" spans="1:13" x14ac:dyDescent="0.25">
      <c r="A464">
        <v>10463</v>
      </c>
      <c r="B464" t="str">
        <f t="shared" si="14"/>
        <v>Apr</v>
      </c>
      <c r="C464">
        <f t="shared" si="15"/>
        <v>4</v>
      </c>
      <c r="D464" t="s">
        <v>236</v>
      </c>
      <c r="E464" t="s">
        <v>679</v>
      </c>
      <c r="F464" t="s">
        <v>13</v>
      </c>
      <c r="G464" t="s">
        <v>32</v>
      </c>
      <c r="H464" t="s">
        <v>33</v>
      </c>
      <c r="I464" t="s">
        <v>22</v>
      </c>
      <c r="J464" t="s">
        <v>38</v>
      </c>
      <c r="K464">
        <v>3</v>
      </c>
      <c r="L464" s="4">
        <v>3536.51</v>
      </c>
      <c r="M464">
        <v>864</v>
      </c>
    </row>
    <row r="465" spans="1:13" x14ac:dyDescent="0.25">
      <c r="A465">
        <v>10464</v>
      </c>
      <c r="B465" t="str">
        <f t="shared" si="14"/>
        <v>Jan</v>
      </c>
      <c r="C465">
        <f t="shared" si="15"/>
        <v>1</v>
      </c>
      <c r="D465" t="s">
        <v>102</v>
      </c>
      <c r="E465" t="s">
        <v>447</v>
      </c>
      <c r="F465" t="s">
        <v>13</v>
      </c>
      <c r="G465" t="s">
        <v>32</v>
      </c>
      <c r="H465" t="s">
        <v>54</v>
      </c>
      <c r="I465" t="s">
        <v>16</v>
      </c>
      <c r="J465" t="s">
        <v>43</v>
      </c>
      <c r="K465">
        <v>1</v>
      </c>
      <c r="L465" s="4">
        <v>3477.32</v>
      </c>
      <c r="M465">
        <v>471.76</v>
      </c>
    </row>
    <row r="466" spans="1:13" x14ac:dyDescent="0.25">
      <c r="A466">
        <v>10465</v>
      </c>
      <c r="B466" t="str">
        <f t="shared" si="14"/>
        <v>Aug</v>
      </c>
      <c r="C466">
        <f t="shared" si="15"/>
        <v>8</v>
      </c>
      <c r="D466" t="s">
        <v>55</v>
      </c>
      <c r="E466" t="s">
        <v>680</v>
      </c>
      <c r="F466" t="s">
        <v>13</v>
      </c>
      <c r="G466" t="s">
        <v>20</v>
      </c>
      <c r="H466" t="s">
        <v>76</v>
      </c>
      <c r="I466" t="s">
        <v>16</v>
      </c>
      <c r="J466" t="s">
        <v>51</v>
      </c>
      <c r="K466">
        <v>4</v>
      </c>
      <c r="L466" s="4">
        <v>2876.84</v>
      </c>
      <c r="M466">
        <v>502.45</v>
      </c>
    </row>
    <row r="467" spans="1:13" x14ac:dyDescent="0.25">
      <c r="A467">
        <v>10466</v>
      </c>
      <c r="B467" t="str">
        <f t="shared" si="14"/>
        <v>Jan</v>
      </c>
      <c r="C467">
        <f t="shared" si="15"/>
        <v>1</v>
      </c>
      <c r="D467" t="s">
        <v>681</v>
      </c>
      <c r="E467" t="s">
        <v>453</v>
      </c>
      <c r="F467" t="s">
        <v>13</v>
      </c>
      <c r="G467" t="s">
        <v>46</v>
      </c>
      <c r="H467" t="s">
        <v>71</v>
      </c>
      <c r="I467" t="s">
        <v>16</v>
      </c>
      <c r="J467" t="s">
        <v>43</v>
      </c>
      <c r="K467">
        <v>8</v>
      </c>
      <c r="L467" s="4">
        <v>1548.8</v>
      </c>
      <c r="M467">
        <v>142.69999999999999</v>
      </c>
    </row>
    <row r="468" spans="1:13" x14ac:dyDescent="0.25">
      <c r="A468">
        <v>10467</v>
      </c>
      <c r="B468" t="str">
        <f t="shared" si="14"/>
        <v>Jul</v>
      </c>
      <c r="C468">
        <f t="shared" si="15"/>
        <v>7</v>
      </c>
      <c r="D468" t="s">
        <v>529</v>
      </c>
      <c r="E468" t="s">
        <v>646</v>
      </c>
      <c r="F468" t="s">
        <v>13</v>
      </c>
      <c r="G468" t="s">
        <v>20</v>
      </c>
      <c r="H468" t="s">
        <v>21</v>
      </c>
      <c r="I468" t="s">
        <v>22</v>
      </c>
      <c r="J468" t="s">
        <v>38</v>
      </c>
      <c r="K468">
        <v>4</v>
      </c>
      <c r="L468" s="4">
        <v>1671.4</v>
      </c>
      <c r="M468">
        <v>13.32</v>
      </c>
    </row>
    <row r="469" spans="1:13" x14ac:dyDescent="0.25">
      <c r="A469">
        <v>10468</v>
      </c>
      <c r="B469" t="str">
        <f t="shared" si="14"/>
        <v>Dec</v>
      </c>
      <c r="C469">
        <f t="shared" si="15"/>
        <v>12</v>
      </c>
      <c r="D469" t="s">
        <v>63</v>
      </c>
      <c r="E469" t="s">
        <v>437</v>
      </c>
      <c r="F469" t="s">
        <v>26</v>
      </c>
      <c r="G469" t="s">
        <v>20</v>
      </c>
      <c r="H469" t="s">
        <v>21</v>
      </c>
      <c r="I469" t="s">
        <v>16</v>
      </c>
      <c r="J469" t="s">
        <v>17</v>
      </c>
      <c r="K469">
        <v>6</v>
      </c>
      <c r="L469" s="4">
        <v>2108.04</v>
      </c>
      <c r="M469">
        <v>265.49</v>
      </c>
    </row>
    <row r="470" spans="1:13" x14ac:dyDescent="0.25">
      <c r="A470">
        <v>10469</v>
      </c>
      <c r="B470" t="str">
        <f t="shared" si="14"/>
        <v>Jul</v>
      </c>
      <c r="C470">
        <f t="shared" si="15"/>
        <v>7</v>
      </c>
      <c r="D470" t="s">
        <v>529</v>
      </c>
      <c r="E470" t="s">
        <v>439</v>
      </c>
      <c r="F470" t="s">
        <v>31</v>
      </c>
      <c r="G470" t="s">
        <v>46</v>
      </c>
      <c r="H470" t="s">
        <v>71</v>
      </c>
      <c r="I470" t="s">
        <v>22</v>
      </c>
      <c r="J470" t="s">
        <v>48</v>
      </c>
      <c r="K470">
        <v>2</v>
      </c>
      <c r="L470" s="4">
        <v>2478.31</v>
      </c>
      <c r="M470">
        <v>128</v>
      </c>
    </row>
    <row r="471" spans="1:13" x14ac:dyDescent="0.25">
      <c r="A471">
        <v>10470</v>
      </c>
      <c r="B471" t="str">
        <f t="shared" si="14"/>
        <v>Feb</v>
      </c>
      <c r="C471">
        <f t="shared" si="15"/>
        <v>2</v>
      </c>
      <c r="D471" t="s">
        <v>682</v>
      </c>
      <c r="E471" t="s">
        <v>683</v>
      </c>
      <c r="F471" t="s">
        <v>13</v>
      </c>
      <c r="G471" t="s">
        <v>32</v>
      </c>
      <c r="H471" t="s">
        <v>33</v>
      </c>
      <c r="I471" t="s">
        <v>27</v>
      </c>
      <c r="J471" t="s">
        <v>104</v>
      </c>
      <c r="K471">
        <v>2</v>
      </c>
      <c r="L471" s="4">
        <v>164.12</v>
      </c>
      <c r="M471">
        <v>-19.579999999999998</v>
      </c>
    </row>
    <row r="472" spans="1:13" x14ac:dyDescent="0.25">
      <c r="A472">
        <v>10471</v>
      </c>
      <c r="B472" t="str">
        <f t="shared" si="14"/>
        <v>Sep</v>
      </c>
      <c r="C472">
        <f t="shared" si="15"/>
        <v>9</v>
      </c>
      <c r="D472" t="s">
        <v>286</v>
      </c>
      <c r="E472" t="s">
        <v>147</v>
      </c>
      <c r="F472" t="s">
        <v>13</v>
      </c>
      <c r="G472" t="s">
        <v>14</v>
      </c>
      <c r="H472" t="s">
        <v>37</v>
      </c>
      <c r="I472" t="s">
        <v>16</v>
      </c>
      <c r="J472" t="s">
        <v>51</v>
      </c>
      <c r="K472">
        <v>6</v>
      </c>
      <c r="L472" s="4">
        <v>3991.82</v>
      </c>
      <c r="M472">
        <v>196.08</v>
      </c>
    </row>
    <row r="473" spans="1:13" x14ac:dyDescent="0.25">
      <c r="A473">
        <v>10472</v>
      </c>
      <c r="B473" t="str">
        <f t="shared" si="14"/>
        <v>Apr</v>
      </c>
      <c r="C473">
        <f t="shared" si="15"/>
        <v>4</v>
      </c>
      <c r="D473" t="s">
        <v>403</v>
      </c>
      <c r="E473" t="s">
        <v>323</v>
      </c>
      <c r="F473" t="s">
        <v>13</v>
      </c>
      <c r="G473" t="s">
        <v>14</v>
      </c>
      <c r="H473" t="s">
        <v>37</v>
      </c>
      <c r="I473" t="s">
        <v>22</v>
      </c>
      <c r="J473" t="s">
        <v>48</v>
      </c>
      <c r="K473">
        <v>2</v>
      </c>
      <c r="L473" s="4">
        <v>596</v>
      </c>
      <c r="M473">
        <v>25.69</v>
      </c>
    </row>
    <row r="474" spans="1:13" x14ac:dyDescent="0.25">
      <c r="A474">
        <v>10473</v>
      </c>
      <c r="B474" t="str">
        <f t="shared" si="14"/>
        <v>Dec</v>
      </c>
      <c r="C474">
        <f t="shared" si="15"/>
        <v>12</v>
      </c>
      <c r="D474" t="s">
        <v>405</v>
      </c>
      <c r="E474" t="s">
        <v>684</v>
      </c>
      <c r="F474" t="s">
        <v>31</v>
      </c>
      <c r="G474" t="s">
        <v>46</v>
      </c>
      <c r="H474" t="s">
        <v>71</v>
      </c>
      <c r="I474" t="s">
        <v>16</v>
      </c>
      <c r="J474" t="s">
        <v>51</v>
      </c>
      <c r="K474">
        <v>2</v>
      </c>
      <c r="L474" s="4">
        <v>3854.79</v>
      </c>
      <c r="M474">
        <v>680.92</v>
      </c>
    </row>
    <row r="475" spans="1:13" x14ac:dyDescent="0.25">
      <c r="A475">
        <v>10474</v>
      </c>
      <c r="B475" t="str">
        <f t="shared" si="14"/>
        <v>Jun</v>
      </c>
      <c r="C475">
        <f t="shared" si="15"/>
        <v>6</v>
      </c>
      <c r="D475" t="s">
        <v>685</v>
      </c>
      <c r="E475" t="s">
        <v>471</v>
      </c>
      <c r="F475" t="s">
        <v>13</v>
      </c>
      <c r="G475" t="s">
        <v>14</v>
      </c>
      <c r="H475" t="s">
        <v>15</v>
      </c>
      <c r="I475" t="s">
        <v>22</v>
      </c>
      <c r="J475" t="s">
        <v>34</v>
      </c>
      <c r="K475">
        <v>6</v>
      </c>
      <c r="L475" s="4">
        <v>3321.91</v>
      </c>
      <c r="M475">
        <v>549.5</v>
      </c>
    </row>
    <row r="476" spans="1:13" x14ac:dyDescent="0.25">
      <c r="A476">
        <v>10475</v>
      </c>
      <c r="B476" t="str">
        <f t="shared" si="14"/>
        <v>Oct</v>
      </c>
      <c r="C476">
        <f t="shared" si="15"/>
        <v>10</v>
      </c>
      <c r="D476" t="s">
        <v>341</v>
      </c>
      <c r="E476" t="s">
        <v>686</v>
      </c>
      <c r="F476" t="s">
        <v>31</v>
      </c>
      <c r="G476" t="s">
        <v>32</v>
      </c>
      <c r="H476" t="s">
        <v>54</v>
      </c>
      <c r="I476" t="s">
        <v>27</v>
      </c>
      <c r="J476" t="s">
        <v>77</v>
      </c>
      <c r="K476">
        <v>6</v>
      </c>
      <c r="L476" s="4">
        <v>3081.23</v>
      </c>
      <c r="M476">
        <v>566.46</v>
      </c>
    </row>
    <row r="477" spans="1:13" x14ac:dyDescent="0.25">
      <c r="A477">
        <v>10476</v>
      </c>
      <c r="B477" t="str">
        <f t="shared" si="14"/>
        <v>Sep</v>
      </c>
      <c r="C477">
        <f t="shared" si="15"/>
        <v>9</v>
      </c>
      <c r="D477" t="s">
        <v>687</v>
      </c>
      <c r="E477" t="s">
        <v>143</v>
      </c>
      <c r="F477" t="s">
        <v>31</v>
      </c>
      <c r="G477" t="s">
        <v>32</v>
      </c>
      <c r="H477" t="s">
        <v>54</v>
      </c>
      <c r="I477" t="s">
        <v>27</v>
      </c>
      <c r="J477" t="s">
        <v>77</v>
      </c>
      <c r="K477">
        <v>1</v>
      </c>
      <c r="L477" s="4">
        <v>3658.94</v>
      </c>
      <c r="M477">
        <v>1022.52</v>
      </c>
    </row>
    <row r="478" spans="1:13" x14ac:dyDescent="0.25">
      <c r="A478">
        <v>10477</v>
      </c>
      <c r="B478" t="str">
        <f t="shared" si="14"/>
        <v>May</v>
      </c>
      <c r="C478">
        <f t="shared" si="15"/>
        <v>5</v>
      </c>
      <c r="D478" t="s">
        <v>554</v>
      </c>
      <c r="E478" t="s">
        <v>688</v>
      </c>
      <c r="F478" t="s">
        <v>13</v>
      </c>
      <c r="G478" t="s">
        <v>14</v>
      </c>
      <c r="H478" t="s">
        <v>37</v>
      </c>
      <c r="I478" t="s">
        <v>22</v>
      </c>
      <c r="J478" t="s">
        <v>48</v>
      </c>
      <c r="K478">
        <v>6</v>
      </c>
      <c r="L478" s="4">
        <v>206.34</v>
      </c>
      <c r="M478">
        <v>-16.260000000000002</v>
      </c>
    </row>
    <row r="479" spans="1:13" x14ac:dyDescent="0.25">
      <c r="A479">
        <v>10478</v>
      </c>
      <c r="B479" t="str">
        <f t="shared" si="14"/>
        <v>May</v>
      </c>
      <c r="C479">
        <f t="shared" si="15"/>
        <v>5</v>
      </c>
      <c r="D479" t="s">
        <v>672</v>
      </c>
      <c r="E479" t="s">
        <v>510</v>
      </c>
      <c r="F479" t="s">
        <v>31</v>
      </c>
      <c r="G479" t="s">
        <v>46</v>
      </c>
      <c r="H479" t="s">
        <v>71</v>
      </c>
      <c r="I479" t="s">
        <v>22</v>
      </c>
      <c r="J479" t="s">
        <v>34</v>
      </c>
      <c r="K479">
        <v>6</v>
      </c>
      <c r="L479" s="4">
        <v>864.92</v>
      </c>
      <c r="M479">
        <v>11.58</v>
      </c>
    </row>
    <row r="480" spans="1:13" x14ac:dyDescent="0.25">
      <c r="A480">
        <v>10479</v>
      </c>
      <c r="B480" t="str">
        <f t="shared" si="14"/>
        <v>Mar</v>
      </c>
      <c r="C480">
        <f t="shared" si="15"/>
        <v>3</v>
      </c>
      <c r="D480" t="s">
        <v>317</v>
      </c>
      <c r="E480" t="s">
        <v>689</v>
      </c>
      <c r="F480" t="s">
        <v>13</v>
      </c>
      <c r="G480" t="s">
        <v>32</v>
      </c>
      <c r="H480" t="s">
        <v>33</v>
      </c>
      <c r="I480" t="s">
        <v>16</v>
      </c>
      <c r="J480" t="s">
        <v>51</v>
      </c>
      <c r="K480">
        <v>4</v>
      </c>
      <c r="L480" s="4">
        <v>3697.9</v>
      </c>
      <c r="M480">
        <v>774.54</v>
      </c>
    </row>
    <row r="481" spans="1:13" x14ac:dyDescent="0.25">
      <c r="A481">
        <v>10480</v>
      </c>
      <c r="B481" t="str">
        <f t="shared" si="14"/>
        <v>Aug</v>
      </c>
      <c r="C481">
        <f t="shared" si="15"/>
        <v>8</v>
      </c>
      <c r="D481" t="s">
        <v>421</v>
      </c>
      <c r="E481" t="s">
        <v>299</v>
      </c>
      <c r="F481" t="s">
        <v>26</v>
      </c>
      <c r="G481" t="s">
        <v>14</v>
      </c>
      <c r="H481" t="s">
        <v>37</v>
      </c>
      <c r="I481" t="s">
        <v>22</v>
      </c>
      <c r="J481" t="s">
        <v>34</v>
      </c>
      <c r="K481">
        <v>2</v>
      </c>
      <c r="L481" s="4">
        <v>3922.6</v>
      </c>
      <c r="M481">
        <v>1066.72</v>
      </c>
    </row>
    <row r="482" spans="1:13" x14ac:dyDescent="0.25">
      <c r="A482">
        <v>10481</v>
      </c>
      <c r="B482" t="str">
        <f t="shared" si="14"/>
        <v>Mar</v>
      </c>
      <c r="C482">
        <f t="shared" si="15"/>
        <v>3</v>
      </c>
      <c r="D482" t="s">
        <v>100</v>
      </c>
      <c r="E482" t="s">
        <v>690</v>
      </c>
      <c r="F482" t="s">
        <v>13</v>
      </c>
      <c r="G482" t="s">
        <v>46</v>
      </c>
      <c r="H482" t="s">
        <v>71</v>
      </c>
      <c r="I482" t="s">
        <v>16</v>
      </c>
      <c r="J482" t="s">
        <v>51</v>
      </c>
      <c r="K482">
        <v>1</v>
      </c>
      <c r="L482" s="4">
        <v>1593.44</v>
      </c>
      <c r="M482">
        <v>42.08</v>
      </c>
    </row>
    <row r="483" spans="1:13" x14ac:dyDescent="0.25">
      <c r="A483">
        <v>10482</v>
      </c>
      <c r="B483" t="str">
        <f t="shared" si="14"/>
        <v>Aug</v>
      </c>
      <c r="C483">
        <f t="shared" si="15"/>
        <v>8</v>
      </c>
      <c r="D483" t="s">
        <v>413</v>
      </c>
      <c r="E483" t="s">
        <v>691</v>
      </c>
      <c r="F483" t="s">
        <v>31</v>
      </c>
      <c r="G483" t="s">
        <v>46</v>
      </c>
      <c r="H483" t="s">
        <v>71</v>
      </c>
      <c r="I483" t="s">
        <v>22</v>
      </c>
      <c r="J483" t="s">
        <v>34</v>
      </c>
      <c r="K483">
        <v>8</v>
      </c>
      <c r="L483" s="4">
        <v>3788.92</v>
      </c>
      <c r="M483">
        <v>725.34</v>
      </c>
    </row>
    <row r="484" spans="1:13" x14ac:dyDescent="0.25">
      <c r="A484">
        <v>10483</v>
      </c>
      <c r="B484" t="str">
        <f t="shared" si="14"/>
        <v>Feb</v>
      </c>
      <c r="C484">
        <f t="shared" si="15"/>
        <v>2</v>
      </c>
      <c r="D484" t="s">
        <v>431</v>
      </c>
      <c r="E484" t="s">
        <v>66</v>
      </c>
      <c r="F484" t="s">
        <v>13</v>
      </c>
      <c r="G484" t="s">
        <v>46</v>
      </c>
      <c r="H484" t="s">
        <v>71</v>
      </c>
      <c r="I484" t="s">
        <v>27</v>
      </c>
      <c r="J484" t="s">
        <v>118</v>
      </c>
      <c r="K484">
        <v>8</v>
      </c>
      <c r="L484" s="4">
        <v>2900.06</v>
      </c>
      <c r="M484">
        <v>140.84</v>
      </c>
    </row>
    <row r="485" spans="1:13" x14ac:dyDescent="0.25">
      <c r="A485">
        <v>10484</v>
      </c>
      <c r="B485" t="str">
        <f t="shared" si="14"/>
        <v>Nov</v>
      </c>
      <c r="C485">
        <f t="shared" si="15"/>
        <v>11</v>
      </c>
      <c r="D485" t="s">
        <v>336</v>
      </c>
      <c r="E485" t="s">
        <v>621</v>
      </c>
      <c r="F485" t="s">
        <v>13</v>
      </c>
      <c r="G485" t="s">
        <v>20</v>
      </c>
      <c r="H485" t="s">
        <v>21</v>
      </c>
      <c r="I485" t="s">
        <v>22</v>
      </c>
      <c r="J485" t="s">
        <v>34</v>
      </c>
      <c r="K485">
        <v>4</v>
      </c>
      <c r="L485" s="4">
        <v>2490.52</v>
      </c>
      <c r="M485">
        <v>511.03</v>
      </c>
    </row>
    <row r="486" spans="1:13" x14ac:dyDescent="0.25">
      <c r="A486">
        <v>10485</v>
      </c>
      <c r="B486" t="str">
        <f t="shared" si="14"/>
        <v>Dec</v>
      </c>
      <c r="C486">
        <f t="shared" si="15"/>
        <v>12</v>
      </c>
      <c r="D486" t="s">
        <v>312</v>
      </c>
      <c r="E486" t="s">
        <v>387</v>
      </c>
      <c r="F486" t="s">
        <v>31</v>
      </c>
      <c r="G486" t="s">
        <v>46</v>
      </c>
      <c r="H486" t="s">
        <v>71</v>
      </c>
      <c r="I486" t="s">
        <v>22</v>
      </c>
      <c r="J486" t="s">
        <v>38</v>
      </c>
      <c r="K486">
        <v>7</v>
      </c>
      <c r="L486" s="4">
        <v>1684.72</v>
      </c>
      <c r="M486">
        <v>464.51</v>
      </c>
    </row>
    <row r="487" spans="1:13" x14ac:dyDescent="0.25">
      <c r="A487">
        <v>10486</v>
      </c>
      <c r="B487" t="str">
        <f t="shared" si="14"/>
        <v>Jun</v>
      </c>
      <c r="C487">
        <f t="shared" si="15"/>
        <v>6</v>
      </c>
      <c r="D487" t="s">
        <v>268</v>
      </c>
      <c r="E487" t="s">
        <v>692</v>
      </c>
      <c r="F487" t="s">
        <v>31</v>
      </c>
      <c r="G487" t="s">
        <v>32</v>
      </c>
      <c r="H487" t="s">
        <v>54</v>
      </c>
      <c r="I487" t="s">
        <v>22</v>
      </c>
      <c r="J487" t="s">
        <v>38</v>
      </c>
      <c r="K487">
        <v>6</v>
      </c>
      <c r="L487" s="4">
        <v>3010</v>
      </c>
      <c r="M487">
        <v>138.22999999999999</v>
      </c>
    </row>
    <row r="488" spans="1:13" x14ac:dyDescent="0.25">
      <c r="A488">
        <v>10487</v>
      </c>
      <c r="B488" t="str">
        <f t="shared" si="14"/>
        <v>Feb</v>
      </c>
      <c r="C488">
        <f t="shared" si="15"/>
        <v>2</v>
      </c>
      <c r="D488" t="s">
        <v>431</v>
      </c>
      <c r="E488" t="s">
        <v>539</v>
      </c>
      <c r="F488" t="s">
        <v>13</v>
      </c>
      <c r="G488" t="s">
        <v>46</v>
      </c>
      <c r="H488" t="s">
        <v>47</v>
      </c>
      <c r="I488" t="s">
        <v>22</v>
      </c>
      <c r="J488" t="s">
        <v>48</v>
      </c>
      <c r="K488">
        <v>4</v>
      </c>
      <c r="L488" s="4">
        <v>3458.26</v>
      </c>
      <c r="M488">
        <v>234.93</v>
      </c>
    </row>
    <row r="489" spans="1:13" x14ac:dyDescent="0.25">
      <c r="A489">
        <v>10488</v>
      </c>
      <c r="B489" t="str">
        <f t="shared" si="14"/>
        <v>Aug</v>
      </c>
      <c r="C489">
        <f t="shared" si="15"/>
        <v>8</v>
      </c>
      <c r="D489" t="s">
        <v>155</v>
      </c>
      <c r="E489" t="s">
        <v>693</v>
      </c>
      <c r="F489" t="s">
        <v>26</v>
      </c>
      <c r="G489" t="s">
        <v>14</v>
      </c>
      <c r="H489" t="s">
        <v>15</v>
      </c>
      <c r="I489" t="s">
        <v>16</v>
      </c>
      <c r="J489" t="s">
        <v>43</v>
      </c>
      <c r="K489">
        <v>5</v>
      </c>
      <c r="L489" s="4">
        <v>167.29</v>
      </c>
      <c r="M489">
        <v>26.25</v>
      </c>
    </row>
    <row r="490" spans="1:13" x14ac:dyDescent="0.25">
      <c r="A490">
        <v>10489</v>
      </c>
      <c r="B490" t="str">
        <f t="shared" si="14"/>
        <v>Nov</v>
      </c>
      <c r="C490">
        <f t="shared" si="15"/>
        <v>11</v>
      </c>
      <c r="D490" t="s">
        <v>694</v>
      </c>
      <c r="E490" t="s">
        <v>30</v>
      </c>
      <c r="F490" t="s">
        <v>26</v>
      </c>
      <c r="G490" t="s">
        <v>32</v>
      </c>
      <c r="H490" t="s">
        <v>33</v>
      </c>
      <c r="I490" t="s">
        <v>16</v>
      </c>
      <c r="J490" t="s">
        <v>43</v>
      </c>
      <c r="K490">
        <v>4</v>
      </c>
      <c r="L490" s="4">
        <v>2777.48</v>
      </c>
      <c r="M490">
        <v>605.02</v>
      </c>
    </row>
    <row r="491" spans="1:13" x14ac:dyDescent="0.25">
      <c r="A491">
        <v>10490</v>
      </c>
      <c r="B491" t="str">
        <f t="shared" si="14"/>
        <v>Nov</v>
      </c>
      <c r="C491">
        <f t="shared" si="15"/>
        <v>11</v>
      </c>
      <c r="D491" t="s">
        <v>264</v>
      </c>
      <c r="E491" t="s">
        <v>695</v>
      </c>
      <c r="F491" t="s">
        <v>26</v>
      </c>
      <c r="G491" t="s">
        <v>14</v>
      </c>
      <c r="H491" t="s">
        <v>37</v>
      </c>
      <c r="I491" t="s">
        <v>16</v>
      </c>
      <c r="J491" t="s">
        <v>81</v>
      </c>
      <c r="K491">
        <v>5</v>
      </c>
      <c r="L491" s="4">
        <v>934.57</v>
      </c>
      <c r="M491">
        <v>34.17</v>
      </c>
    </row>
    <row r="492" spans="1:13" x14ac:dyDescent="0.25">
      <c r="A492">
        <v>10491</v>
      </c>
      <c r="B492" t="str">
        <f t="shared" si="14"/>
        <v>Feb</v>
      </c>
      <c r="C492">
        <f t="shared" si="15"/>
        <v>2</v>
      </c>
      <c r="D492" t="s">
        <v>517</v>
      </c>
      <c r="E492" t="s">
        <v>696</v>
      </c>
      <c r="F492" t="s">
        <v>31</v>
      </c>
      <c r="G492" t="s">
        <v>20</v>
      </c>
      <c r="H492" t="s">
        <v>21</v>
      </c>
      <c r="I492" t="s">
        <v>22</v>
      </c>
      <c r="J492" t="s">
        <v>34</v>
      </c>
      <c r="K492">
        <v>5</v>
      </c>
      <c r="L492" s="4">
        <v>3348.61</v>
      </c>
      <c r="M492">
        <v>895.62</v>
      </c>
    </row>
    <row r="493" spans="1:13" x14ac:dyDescent="0.25">
      <c r="A493">
        <v>10492</v>
      </c>
      <c r="B493" t="str">
        <f t="shared" si="14"/>
        <v>Apr</v>
      </c>
      <c r="C493">
        <f t="shared" si="15"/>
        <v>4</v>
      </c>
      <c r="D493" t="s">
        <v>547</v>
      </c>
      <c r="E493" t="s">
        <v>58</v>
      </c>
      <c r="F493" t="s">
        <v>31</v>
      </c>
      <c r="G493" t="s">
        <v>20</v>
      </c>
      <c r="H493" t="s">
        <v>21</v>
      </c>
      <c r="I493" t="s">
        <v>27</v>
      </c>
      <c r="J493" t="s">
        <v>118</v>
      </c>
      <c r="K493">
        <v>6</v>
      </c>
      <c r="L493" s="4">
        <v>2474.84</v>
      </c>
      <c r="M493">
        <v>484.38</v>
      </c>
    </row>
    <row r="494" spans="1:13" x14ac:dyDescent="0.25">
      <c r="A494">
        <v>10493</v>
      </c>
      <c r="B494" t="str">
        <f t="shared" si="14"/>
        <v>Dec</v>
      </c>
      <c r="C494">
        <f t="shared" si="15"/>
        <v>12</v>
      </c>
      <c r="D494" t="s">
        <v>279</v>
      </c>
      <c r="E494" t="s">
        <v>697</v>
      </c>
      <c r="F494" t="s">
        <v>31</v>
      </c>
      <c r="G494" t="s">
        <v>14</v>
      </c>
      <c r="H494" t="s">
        <v>15</v>
      </c>
      <c r="I494" t="s">
        <v>22</v>
      </c>
      <c r="J494" t="s">
        <v>38</v>
      </c>
      <c r="K494">
        <v>6</v>
      </c>
      <c r="L494" s="4">
        <v>2500.67</v>
      </c>
      <c r="M494">
        <v>588.57000000000005</v>
      </c>
    </row>
    <row r="495" spans="1:13" x14ac:dyDescent="0.25">
      <c r="A495">
        <v>10494</v>
      </c>
      <c r="B495" t="str">
        <f t="shared" si="14"/>
        <v>Jan</v>
      </c>
      <c r="C495">
        <f t="shared" si="15"/>
        <v>1</v>
      </c>
      <c r="D495" t="s">
        <v>698</v>
      </c>
      <c r="E495" t="s">
        <v>445</v>
      </c>
      <c r="F495" t="s">
        <v>31</v>
      </c>
      <c r="G495" t="s">
        <v>32</v>
      </c>
      <c r="H495" t="s">
        <v>33</v>
      </c>
      <c r="I495" t="s">
        <v>16</v>
      </c>
      <c r="J495" t="s">
        <v>17</v>
      </c>
      <c r="K495">
        <v>1</v>
      </c>
      <c r="L495" s="4">
        <v>3166.38</v>
      </c>
      <c r="M495">
        <v>764.84</v>
      </c>
    </row>
    <row r="496" spans="1:13" x14ac:dyDescent="0.25">
      <c r="A496">
        <v>10495</v>
      </c>
      <c r="B496" t="str">
        <f t="shared" si="14"/>
        <v>Nov</v>
      </c>
      <c r="C496">
        <f t="shared" si="15"/>
        <v>11</v>
      </c>
      <c r="D496" t="s">
        <v>514</v>
      </c>
      <c r="E496" t="s">
        <v>385</v>
      </c>
      <c r="F496" t="s">
        <v>13</v>
      </c>
      <c r="G496" t="s">
        <v>46</v>
      </c>
      <c r="H496" t="s">
        <v>71</v>
      </c>
      <c r="I496" t="s">
        <v>27</v>
      </c>
      <c r="J496" t="s">
        <v>77</v>
      </c>
      <c r="K496">
        <v>3</v>
      </c>
      <c r="L496" s="4">
        <v>530.20000000000005</v>
      </c>
      <c r="M496">
        <v>-18.89</v>
      </c>
    </row>
    <row r="497" spans="1:13" x14ac:dyDescent="0.25">
      <c r="A497">
        <v>10496</v>
      </c>
      <c r="B497" t="str">
        <f t="shared" si="14"/>
        <v>Oct</v>
      </c>
      <c r="C497">
        <f t="shared" si="15"/>
        <v>10</v>
      </c>
      <c r="D497" t="s">
        <v>84</v>
      </c>
      <c r="E497" t="s">
        <v>699</v>
      </c>
      <c r="F497" t="s">
        <v>26</v>
      </c>
      <c r="G497" t="s">
        <v>46</v>
      </c>
      <c r="H497" t="s">
        <v>47</v>
      </c>
      <c r="I497" t="s">
        <v>22</v>
      </c>
      <c r="J497" t="s">
        <v>48</v>
      </c>
      <c r="K497">
        <v>7</v>
      </c>
      <c r="L497" s="4">
        <v>4855.63</v>
      </c>
      <c r="M497">
        <v>1314.19</v>
      </c>
    </row>
    <row r="498" spans="1:13" x14ac:dyDescent="0.25">
      <c r="A498">
        <v>10497</v>
      </c>
      <c r="B498" t="str">
        <f t="shared" si="14"/>
        <v>Dec</v>
      </c>
      <c r="C498">
        <f t="shared" si="15"/>
        <v>12</v>
      </c>
      <c r="D498" t="s">
        <v>121</v>
      </c>
      <c r="E498" t="s">
        <v>700</v>
      </c>
      <c r="F498" t="s">
        <v>26</v>
      </c>
      <c r="G498" t="s">
        <v>46</v>
      </c>
      <c r="H498" t="s">
        <v>71</v>
      </c>
      <c r="I498" t="s">
        <v>22</v>
      </c>
      <c r="J498" t="s">
        <v>38</v>
      </c>
      <c r="K498">
        <v>3</v>
      </c>
      <c r="L498" s="4">
        <v>2207.3200000000002</v>
      </c>
      <c r="M498">
        <v>534.98</v>
      </c>
    </row>
    <row r="499" spans="1:13" x14ac:dyDescent="0.25">
      <c r="A499">
        <v>10498</v>
      </c>
      <c r="B499" t="str">
        <f t="shared" si="14"/>
        <v>Jun</v>
      </c>
      <c r="C499">
        <f t="shared" si="15"/>
        <v>6</v>
      </c>
      <c r="D499" t="s">
        <v>334</v>
      </c>
      <c r="E499" t="s">
        <v>387</v>
      </c>
      <c r="F499" t="s">
        <v>31</v>
      </c>
      <c r="G499" t="s">
        <v>32</v>
      </c>
      <c r="H499" t="s">
        <v>33</v>
      </c>
      <c r="I499" t="s">
        <v>16</v>
      </c>
      <c r="J499" t="s">
        <v>81</v>
      </c>
      <c r="K499">
        <v>3</v>
      </c>
      <c r="L499" s="4">
        <v>1656.23</v>
      </c>
      <c r="M499">
        <v>374.32</v>
      </c>
    </row>
    <row r="500" spans="1:13" x14ac:dyDescent="0.25">
      <c r="A500">
        <v>10499</v>
      </c>
      <c r="B500" t="str">
        <f t="shared" si="14"/>
        <v>Nov</v>
      </c>
      <c r="C500">
        <f t="shared" si="15"/>
        <v>11</v>
      </c>
      <c r="D500" t="s">
        <v>514</v>
      </c>
      <c r="E500" t="s">
        <v>692</v>
      </c>
      <c r="F500" t="s">
        <v>31</v>
      </c>
      <c r="G500" t="s">
        <v>32</v>
      </c>
      <c r="H500" t="s">
        <v>54</v>
      </c>
      <c r="I500" t="s">
        <v>16</v>
      </c>
      <c r="J500" t="s">
        <v>17</v>
      </c>
      <c r="K500">
        <v>3</v>
      </c>
      <c r="L500" s="4">
        <v>3917.63</v>
      </c>
      <c r="M500">
        <v>281.98</v>
      </c>
    </row>
    <row r="501" spans="1:13" x14ac:dyDescent="0.25">
      <c r="A501">
        <v>10500</v>
      </c>
      <c r="B501" t="str">
        <f t="shared" si="14"/>
        <v>Nov</v>
      </c>
      <c r="C501">
        <f t="shared" si="15"/>
        <v>11</v>
      </c>
      <c r="D501" t="s">
        <v>411</v>
      </c>
      <c r="E501" t="s">
        <v>271</v>
      </c>
      <c r="F501" t="s">
        <v>13</v>
      </c>
      <c r="G501" t="s">
        <v>46</v>
      </c>
      <c r="H501" t="s">
        <v>71</v>
      </c>
      <c r="I501" t="s">
        <v>22</v>
      </c>
      <c r="J501" t="s">
        <v>23</v>
      </c>
      <c r="K501">
        <v>6</v>
      </c>
      <c r="L501" s="4">
        <v>489.43</v>
      </c>
      <c r="M501">
        <v>106.48</v>
      </c>
    </row>
    <row r="502" spans="1:13" x14ac:dyDescent="0.25">
      <c r="A502">
        <v>10501</v>
      </c>
      <c r="B502" t="str">
        <f t="shared" si="14"/>
        <v>Jan</v>
      </c>
      <c r="C502">
        <f t="shared" si="15"/>
        <v>1</v>
      </c>
      <c r="D502" t="s">
        <v>701</v>
      </c>
      <c r="E502" t="s">
        <v>702</v>
      </c>
      <c r="F502" t="s">
        <v>31</v>
      </c>
      <c r="G502" t="s">
        <v>32</v>
      </c>
      <c r="H502" t="s">
        <v>33</v>
      </c>
      <c r="I502" t="s">
        <v>27</v>
      </c>
      <c r="J502" t="s">
        <v>77</v>
      </c>
      <c r="K502">
        <v>8</v>
      </c>
      <c r="L502" s="4">
        <v>773.81</v>
      </c>
      <c r="M502">
        <v>72.849999999999994</v>
      </c>
    </row>
    <row r="503" spans="1:13" x14ac:dyDescent="0.25">
      <c r="A503">
        <v>10502</v>
      </c>
      <c r="B503" t="str">
        <f t="shared" si="14"/>
        <v>Sep</v>
      </c>
      <c r="C503">
        <f t="shared" si="15"/>
        <v>9</v>
      </c>
      <c r="D503" t="s">
        <v>442</v>
      </c>
      <c r="E503" t="s">
        <v>42</v>
      </c>
      <c r="F503" t="s">
        <v>31</v>
      </c>
      <c r="G503" t="s">
        <v>46</v>
      </c>
      <c r="H503" t="s">
        <v>71</v>
      </c>
      <c r="I503" t="s">
        <v>22</v>
      </c>
      <c r="J503" t="s">
        <v>23</v>
      </c>
      <c r="K503">
        <v>3</v>
      </c>
      <c r="L503" s="4">
        <v>4642.8100000000004</v>
      </c>
      <c r="M503">
        <v>1289.45</v>
      </c>
    </row>
    <row r="504" spans="1:13" x14ac:dyDescent="0.25">
      <c r="A504">
        <v>10503</v>
      </c>
      <c r="B504" t="str">
        <f t="shared" si="14"/>
        <v>Jul</v>
      </c>
      <c r="C504">
        <f t="shared" si="15"/>
        <v>7</v>
      </c>
      <c r="D504" t="s">
        <v>703</v>
      </c>
      <c r="E504" t="s">
        <v>704</v>
      </c>
      <c r="F504" t="s">
        <v>13</v>
      </c>
      <c r="G504" t="s">
        <v>20</v>
      </c>
      <c r="H504" t="s">
        <v>21</v>
      </c>
      <c r="I504" t="s">
        <v>27</v>
      </c>
      <c r="J504" t="s">
        <v>77</v>
      </c>
      <c r="K504">
        <v>1</v>
      </c>
      <c r="L504" s="4">
        <v>3078.86</v>
      </c>
      <c r="M504">
        <v>716.42</v>
      </c>
    </row>
    <row r="505" spans="1:13" x14ac:dyDescent="0.25">
      <c r="A505">
        <v>10504</v>
      </c>
      <c r="B505" t="str">
        <f t="shared" si="14"/>
        <v>Jan</v>
      </c>
      <c r="C505">
        <f t="shared" si="15"/>
        <v>1</v>
      </c>
      <c r="D505" t="s">
        <v>102</v>
      </c>
      <c r="E505" t="s">
        <v>705</v>
      </c>
      <c r="F505" t="s">
        <v>31</v>
      </c>
      <c r="G505" t="s">
        <v>14</v>
      </c>
      <c r="H505" t="s">
        <v>15</v>
      </c>
      <c r="I505" t="s">
        <v>27</v>
      </c>
      <c r="J505" t="s">
        <v>77</v>
      </c>
      <c r="K505">
        <v>1</v>
      </c>
      <c r="L505" s="4">
        <v>4401.12</v>
      </c>
      <c r="M505">
        <v>436.63</v>
      </c>
    </row>
    <row r="506" spans="1:13" x14ac:dyDescent="0.25">
      <c r="A506">
        <v>10505</v>
      </c>
      <c r="B506" t="str">
        <f t="shared" si="14"/>
        <v>Mar</v>
      </c>
      <c r="C506">
        <f t="shared" si="15"/>
        <v>3</v>
      </c>
      <c r="D506" t="s">
        <v>706</v>
      </c>
      <c r="E506" t="s">
        <v>707</v>
      </c>
      <c r="F506" t="s">
        <v>31</v>
      </c>
      <c r="G506" t="s">
        <v>14</v>
      </c>
      <c r="H506" t="s">
        <v>15</v>
      </c>
      <c r="I506" t="s">
        <v>27</v>
      </c>
      <c r="J506" t="s">
        <v>77</v>
      </c>
      <c r="K506">
        <v>7</v>
      </c>
      <c r="L506" s="4">
        <v>4433.55</v>
      </c>
      <c r="M506">
        <v>1050.6199999999999</v>
      </c>
    </row>
    <row r="507" spans="1:13" x14ac:dyDescent="0.25">
      <c r="A507">
        <v>10506</v>
      </c>
      <c r="B507" t="str">
        <f t="shared" si="14"/>
        <v>Dec</v>
      </c>
      <c r="C507">
        <f t="shared" si="15"/>
        <v>12</v>
      </c>
      <c r="D507" t="s">
        <v>151</v>
      </c>
      <c r="E507" t="s">
        <v>708</v>
      </c>
      <c r="F507" t="s">
        <v>26</v>
      </c>
      <c r="G507" t="s">
        <v>14</v>
      </c>
      <c r="H507" t="s">
        <v>15</v>
      </c>
      <c r="I507" t="s">
        <v>27</v>
      </c>
      <c r="J507" t="s">
        <v>77</v>
      </c>
      <c r="K507">
        <v>2</v>
      </c>
      <c r="L507" s="4">
        <v>3640.97</v>
      </c>
      <c r="M507">
        <v>207.19</v>
      </c>
    </row>
    <row r="508" spans="1:13" x14ac:dyDescent="0.25">
      <c r="A508">
        <v>10507</v>
      </c>
      <c r="B508" t="str">
        <f t="shared" si="14"/>
        <v>Apr</v>
      </c>
      <c r="C508">
        <f t="shared" si="15"/>
        <v>4</v>
      </c>
      <c r="D508" t="s">
        <v>709</v>
      </c>
      <c r="E508" t="s">
        <v>710</v>
      </c>
      <c r="F508" t="s">
        <v>26</v>
      </c>
      <c r="G508" t="s">
        <v>20</v>
      </c>
      <c r="H508" t="s">
        <v>76</v>
      </c>
      <c r="I508" t="s">
        <v>27</v>
      </c>
      <c r="J508" t="s">
        <v>77</v>
      </c>
      <c r="K508">
        <v>1</v>
      </c>
      <c r="L508" s="4">
        <v>976.51</v>
      </c>
      <c r="M508">
        <v>121.67</v>
      </c>
    </row>
    <row r="509" spans="1:13" x14ac:dyDescent="0.25">
      <c r="A509">
        <v>10508</v>
      </c>
      <c r="B509" t="str">
        <f t="shared" si="14"/>
        <v>Feb</v>
      </c>
      <c r="C509">
        <f t="shared" si="15"/>
        <v>2</v>
      </c>
      <c r="D509" t="s">
        <v>431</v>
      </c>
      <c r="E509" t="s">
        <v>711</v>
      </c>
      <c r="F509" t="s">
        <v>13</v>
      </c>
      <c r="G509" t="s">
        <v>32</v>
      </c>
      <c r="H509" t="s">
        <v>54</v>
      </c>
      <c r="I509" t="s">
        <v>16</v>
      </c>
      <c r="J509" t="s">
        <v>43</v>
      </c>
      <c r="K509">
        <v>2</v>
      </c>
      <c r="L509" s="4">
        <v>546.84</v>
      </c>
      <c r="M509">
        <v>60.48</v>
      </c>
    </row>
    <row r="510" spans="1:13" x14ac:dyDescent="0.25">
      <c r="A510">
        <v>10509</v>
      </c>
      <c r="B510" t="str">
        <f t="shared" si="14"/>
        <v>Dec</v>
      </c>
      <c r="C510">
        <f t="shared" si="15"/>
        <v>12</v>
      </c>
      <c r="D510" t="s">
        <v>63</v>
      </c>
      <c r="E510" t="s">
        <v>712</v>
      </c>
      <c r="F510" t="s">
        <v>26</v>
      </c>
      <c r="G510" t="s">
        <v>20</v>
      </c>
      <c r="H510" t="s">
        <v>21</v>
      </c>
      <c r="I510" t="s">
        <v>27</v>
      </c>
      <c r="J510" t="s">
        <v>77</v>
      </c>
      <c r="K510">
        <v>1</v>
      </c>
      <c r="L510" s="4">
        <v>3864.48</v>
      </c>
      <c r="M510">
        <v>1018.02</v>
      </c>
    </row>
    <row r="511" spans="1:13" x14ac:dyDescent="0.25">
      <c r="A511">
        <v>10510</v>
      </c>
      <c r="B511" t="str">
        <f t="shared" si="14"/>
        <v>May</v>
      </c>
      <c r="C511">
        <f t="shared" si="15"/>
        <v>5</v>
      </c>
      <c r="D511" t="s">
        <v>214</v>
      </c>
      <c r="E511" t="s">
        <v>713</v>
      </c>
      <c r="F511" t="s">
        <v>26</v>
      </c>
      <c r="G511" t="s">
        <v>46</v>
      </c>
      <c r="H511" t="s">
        <v>71</v>
      </c>
      <c r="I511" t="s">
        <v>22</v>
      </c>
      <c r="J511" t="s">
        <v>23</v>
      </c>
      <c r="K511">
        <v>7</v>
      </c>
      <c r="L511" s="4">
        <v>1609.5</v>
      </c>
      <c r="M511">
        <v>278.18</v>
      </c>
    </row>
    <row r="512" spans="1:13" x14ac:dyDescent="0.25">
      <c r="A512">
        <v>10511</v>
      </c>
      <c r="B512" t="str">
        <f t="shared" si="14"/>
        <v>Jan</v>
      </c>
      <c r="C512">
        <f t="shared" si="15"/>
        <v>1</v>
      </c>
      <c r="D512" t="s">
        <v>126</v>
      </c>
      <c r="E512" t="s">
        <v>714</v>
      </c>
      <c r="F512" t="s">
        <v>31</v>
      </c>
      <c r="G512" t="s">
        <v>14</v>
      </c>
      <c r="H512" t="s">
        <v>15</v>
      </c>
      <c r="I512" t="s">
        <v>22</v>
      </c>
      <c r="J512" t="s">
        <v>23</v>
      </c>
      <c r="K512">
        <v>5</v>
      </c>
      <c r="L512" s="4">
        <v>159.82</v>
      </c>
      <c r="M512">
        <v>-21.99</v>
      </c>
    </row>
    <row r="513" spans="1:13" x14ac:dyDescent="0.25">
      <c r="A513">
        <v>10512</v>
      </c>
      <c r="B513" t="str">
        <f t="shared" si="14"/>
        <v>May</v>
      </c>
      <c r="C513">
        <f t="shared" si="15"/>
        <v>5</v>
      </c>
      <c r="D513" t="s">
        <v>92</v>
      </c>
      <c r="E513" t="s">
        <v>715</v>
      </c>
      <c r="F513" t="s">
        <v>31</v>
      </c>
      <c r="G513" t="s">
        <v>46</v>
      </c>
      <c r="H513" t="s">
        <v>71</v>
      </c>
      <c r="I513" t="s">
        <v>16</v>
      </c>
      <c r="J513" t="s">
        <v>51</v>
      </c>
      <c r="K513">
        <v>8</v>
      </c>
      <c r="L513" s="4">
        <v>2109.7399999999998</v>
      </c>
      <c r="M513">
        <v>87.36</v>
      </c>
    </row>
    <row r="514" spans="1:13" x14ac:dyDescent="0.25">
      <c r="A514">
        <v>10513</v>
      </c>
      <c r="B514" t="str">
        <f t="shared" ref="B514:B577" si="16">TEXT(D514,"mmm")</f>
        <v>Dec</v>
      </c>
      <c r="C514">
        <f t="shared" ref="C514:C577" si="17">MONTH(D514)</f>
        <v>12</v>
      </c>
      <c r="D514" t="s">
        <v>716</v>
      </c>
      <c r="E514" t="s">
        <v>717</v>
      </c>
      <c r="F514" t="s">
        <v>13</v>
      </c>
      <c r="G514" t="s">
        <v>46</v>
      </c>
      <c r="H514" t="s">
        <v>71</v>
      </c>
      <c r="I514" t="s">
        <v>22</v>
      </c>
      <c r="J514" t="s">
        <v>48</v>
      </c>
      <c r="K514">
        <v>1</v>
      </c>
      <c r="L514" s="4">
        <v>3301.06</v>
      </c>
      <c r="M514">
        <v>109.97</v>
      </c>
    </row>
    <row r="515" spans="1:13" x14ac:dyDescent="0.25">
      <c r="A515">
        <v>10514</v>
      </c>
      <c r="B515" t="str">
        <f t="shared" si="16"/>
        <v>Nov</v>
      </c>
      <c r="C515">
        <f t="shared" si="17"/>
        <v>11</v>
      </c>
      <c r="D515" t="s">
        <v>229</v>
      </c>
      <c r="E515" t="s">
        <v>718</v>
      </c>
      <c r="F515" t="s">
        <v>13</v>
      </c>
      <c r="G515" t="s">
        <v>32</v>
      </c>
      <c r="H515" t="s">
        <v>54</v>
      </c>
      <c r="I515" t="s">
        <v>22</v>
      </c>
      <c r="J515" t="s">
        <v>23</v>
      </c>
      <c r="K515">
        <v>2</v>
      </c>
      <c r="L515" s="4">
        <v>2143.09</v>
      </c>
      <c r="M515">
        <v>135.44999999999999</v>
      </c>
    </row>
    <row r="516" spans="1:13" x14ac:dyDescent="0.25">
      <c r="A516">
        <v>10515</v>
      </c>
      <c r="B516" t="str">
        <f t="shared" si="16"/>
        <v>Jul</v>
      </c>
      <c r="C516">
        <f t="shared" si="17"/>
        <v>7</v>
      </c>
      <c r="D516" t="s">
        <v>144</v>
      </c>
      <c r="E516" t="s">
        <v>719</v>
      </c>
      <c r="F516" t="s">
        <v>26</v>
      </c>
      <c r="G516" t="s">
        <v>46</v>
      </c>
      <c r="H516" t="s">
        <v>47</v>
      </c>
      <c r="I516" t="s">
        <v>16</v>
      </c>
      <c r="J516" t="s">
        <v>17</v>
      </c>
      <c r="K516">
        <v>1</v>
      </c>
      <c r="L516" s="4">
        <v>556.32000000000005</v>
      </c>
      <c r="M516">
        <v>32.58</v>
      </c>
    </row>
    <row r="517" spans="1:13" x14ac:dyDescent="0.25">
      <c r="A517">
        <v>10516</v>
      </c>
      <c r="B517" t="str">
        <f t="shared" si="16"/>
        <v>Jul</v>
      </c>
      <c r="C517">
        <f t="shared" si="17"/>
        <v>7</v>
      </c>
      <c r="D517" t="s">
        <v>593</v>
      </c>
      <c r="E517" t="s">
        <v>720</v>
      </c>
      <c r="F517" t="s">
        <v>26</v>
      </c>
      <c r="G517" t="s">
        <v>20</v>
      </c>
      <c r="H517" t="s">
        <v>21</v>
      </c>
      <c r="I517" t="s">
        <v>27</v>
      </c>
      <c r="J517" t="s">
        <v>77</v>
      </c>
      <c r="K517">
        <v>3</v>
      </c>
      <c r="L517" s="4">
        <v>697.91</v>
      </c>
      <c r="M517">
        <v>151.91999999999999</v>
      </c>
    </row>
    <row r="518" spans="1:13" x14ac:dyDescent="0.25">
      <c r="A518">
        <v>10517</v>
      </c>
      <c r="B518" t="str">
        <f t="shared" si="16"/>
        <v>Dec</v>
      </c>
      <c r="C518">
        <f t="shared" si="17"/>
        <v>12</v>
      </c>
      <c r="D518" t="s">
        <v>721</v>
      </c>
      <c r="E518" t="s">
        <v>355</v>
      </c>
      <c r="F518" t="s">
        <v>31</v>
      </c>
      <c r="G518" t="s">
        <v>46</v>
      </c>
      <c r="H518" t="s">
        <v>71</v>
      </c>
      <c r="I518" t="s">
        <v>22</v>
      </c>
      <c r="J518" t="s">
        <v>23</v>
      </c>
      <c r="K518">
        <v>8</v>
      </c>
      <c r="L518" s="4">
        <v>3647.96</v>
      </c>
      <c r="M518">
        <v>655.13</v>
      </c>
    </row>
    <row r="519" spans="1:13" x14ac:dyDescent="0.25">
      <c r="A519">
        <v>10518</v>
      </c>
      <c r="B519" t="str">
        <f t="shared" si="16"/>
        <v>Sep</v>
      </c>
      <c r="C519">
        <f t="shared" si="17"/>
        <v>9</v>
      </c>
      <c r="D519" t="s">
        <v>722</v>
      </c>
      <c r="E519" t="s">
        <v>723</v>
      </c>
      <c r="F519" t="s">
        <v>26</v>
      </c>
      <c r="G519" t="s">
        <v>32</v>
      </c>
      <c r="H519" t="s">
        <v>54</v>
      </c>
      <c r="I519" t="s">
        <v>16</v>
      </c>
      <c r="J519" t="s">
        <v>17</v>
      </c>
      <c r="K519">
        <v>3</v>
      </c>
      <c r="L519" s="4">
        <v>3110.02</v>
      </c>
      <c r="M519">
        <v>468.53</v>
      </c>
    </row>
    <row r="520" spans="1:13" x14ac:dyDescent="0.25">
      <c r="A520">
        <v>10519</v>
      </c>
      <c r="B520" t="str">
        <f t="shared" si="16"/>
        <v>Apr</v>
      </c>
      <c r="C520">
        <f t="shared" si="17"/>
        <v>4</v>
      </c>
      <c r="D520" t="s">
        <v>409</v>
      </c>
      <c r="E520" t="s">
        <v>724</v>
      </c>
      <c r="F520" t="s">
        <v>13</v>
      </c>
      <c r="G520" t="s">
        <v>46</v>
      </c>
      <c r="H520" t="s">
        <v>47</v>
      </c>
      <c r="I520" t="s">
        <v>22</v>
      </c>
      <c r="J520" t="s">
        <v>23</v>
      </c>
      <c r="K520">
        <v>2</v>
      </c>
      <c r="L520" s="4">
        <v>217.54</v>
      </c>
      <c r="M520">
        <v>33.1</v>
      </c>
    </row>
    <row r="521" spans="1:13" x14ac:dyDescent="0.25">
      <c r="A521">
        <v>10520</v>
      </c>
      <c r="B521" t="str">
        <f t="shared" si="16"/>
        <v>Apr</v>
      </c>
      <c r="C521">
        <f t="shared" si="17"/>
        <v>4</v>
      </c>
      <c r="D521" t="s">
        <v>709</v>
      </c>
      <c r="E521" t="s">
        <v>725</v>
      </c>
      <c r="F521" t="s">
        <v>31</v>
      </c>
      <c r="G521" t="s">
        <v>20</v>
      </c>
      <c r="H521" t="s">
        <v>76</v>
      </c>
      <c r="I521" t="s">
        <v>22</v>
      </c>
      <c r="J521" t="s">
        <v>38</v>
      </c>
      <c r="K521">
        <v>6</v>
      </c>
      <c r="L521" s="4">
        <v>2846.04</v>
      </c>
      <c r="M521">
        <v>594.76</v>
      </c>
    </row>
    <row r="522" spans="1:13" x14ac:dyDescent="0.25">
      <c r="A522">
        <v>10521</v>
      </c>
      <c r="B522" t="str">
        <f t="shared" si="16"/>
        <v>Jul</v>
      </c>
      <c r="C522">
        <f t="shared" si="17"/>
        <v>7</v>
      </c>
      <c r="D522" t="s">
        <v>677</v>
      </c>
      <c r="E522" t="s">
        <v>141</v>
      </c>
      <c r="F522" t="s">
        <v>13</v>
      </c>
      <c r="G522" t="s">
        <v>32</v>
      </c>
      <c r="H522" t="s">
        <v>33</v>
      </c>
      <c r="I522" t="s">
        <v>27</v>
      </c>
      <c r="J522" t="s">
        <v>28</v>
      </c>
      <c r="K522">
        <v>6</v>
      </c>
      <c r="L522" s="4">
        <v>3858.46</v>
      </c>
      <c r="M522">
        <v>269.39999999999998</v>
      </c>
    </row>
    <row r="523" spans="1:13" x14ac:dyDescent="0.25">
      <c r="A523">
        <v>10522</v>
      </c>
      <c r="B523" t="str">
        <f t="shared" si="16"/>
        <v>Jan</v>
      </c>
      <c r="C523">
        <f t="shared" si="17"/>
        <v>1</v>
      </c>
      <c r="D523" t="s">
        <v>362</v>
      </c>
      <c r="E523" t="s">
        <v>361</v>
      </c>
      <c r="F523" t="s">
        <v>26</v>
      </c>
      <c r="G523" t="s">
        <v>14</v>
      </c>
      <c r="H523" t="s">
        <v>15</v>
      </c>
      <c r="I523" t="s">
        <v>22</v>
      </c>
      <c r="J523" t="s">
        <v>38</v>
      </c>
      <c r="K523">
        <v>6</v>
      </c>
      <c r="L523" s="4">
        <v>4619.17</v>
      </c>
      <c r="M523">
        <v>736.78</v>
      </c>
    </row>
    <row r="524" spans="1:13" x14ac:dyDescent="0.25">
      <c r="A524">
        <v>10523</v>
      </c>
      <c r="B524" t="str">
        <f t="shared" si="16"/>
        <v>Jan</v>
      </c>
      <c r="C524">
        <f t="shared" si="17"/>
        <v>1</v>
      </c>
      <c r="D524" t="s">
        <v>482</v>
      </c>
      <c r="E524" t="s">
        <v>726</v>
      </c>
      <c r="F524" t="s">
        <v>13</v>
      </c>
      <c r="G524" t="s">
        <v>20</v>
      </c>
      <c r="H524" t="s">
        <v>21</v>
      </c>
      <c r="I524" t="s">
        <v>16</v>
      </c>
      <c r="J524" t="s">
        <v>51</v>
      </c>
      <c r="K524">
        <v>6</v>
      </c>
      <c r="L524" s="4">
        <v>2366.1</v>
      </c>
      <c r="M524">
        <v>507.13</v>
      </c>
    </row>
    <row r="525" spans="1:13" x14ac:dyDescent="0.25">
      <c r="A525">
        <v>10524</v>
      </c>
      <c r="B525" t="str">
        <f t="shared" si="16"/>
        <v>Jul</v>
      </c>
      <c r="C525">
        <f t="shared" si="17"/>
        <v>7</v>
      </c>
      <c r="D525" t="s">
        <v>39</v>
      </c>
      <c r="E525" t="s">
        <v>481</v>
      </c>
      <c r="F525" t="s">
        <v>26</v>
      </c>
      <c r="G525" t="s">
        <v>32</v>
      </c>
      <c r="H525" t="s">
        <v>54</v>
      </c>
      <c r="I525" t="s">
        <v>16</v>
      </c>
      <c r="J525" t="s">
        <v>81</v>
      </c>
      <c r="K525">
        <v>4</v>
      </c>
      <c r="L525" s="4">
        <v>2929.25</v>
      </c>
      <c r="M525">
        <v>297.77</v>
      </c>
    </row>
    <row r="526" spans="1:13" x14ac:dyDescent="0.25">
      <c r="A526">
        <v>10525</v>
      </c>
      <c r="B526" t="str">
        <f t="shared" si="16"/>
        <v>Jun</v>
      </c>
      <c r="C526">
        <f t="shared" si="17"/>
        <v>6</v>
      </c>
      <c r="D526" t="s">
        <v>346</v>
      </c>
      <c r="E526" t="s">
        <v>204</v>
      </c>
      <c r="F526" t="s">
        <v>31</v>
      </c>
      <c r="G526" t="s">
        <v>32</v>
      </c>
      <c r="H526" t="s">
        <v>33</v>
      </c>
      <c r="I526" t="s">
        <v>27</v>
      </c>
      <c r="J526" t="s">
        <v>77</v>
      </c>
      <c r="K526">
        <v>3</v>
      </c>
      <c r="L526" s="4">
        <v>2897.81</v>
      </c>
      <c r="M526">
        <v>367.59</v>
      </c>
    </row>
    <row r="527" spans="1:13" x14ac:dyDescent="0.25">
      <c r="A527">
        <v>10526</v>
      </c>
      <c r="B527" t="str">
        <f t="shared" si="16"/>
        <v>Jun</v>
      </c>
      <c r="C527">
        <f t="shared" si="17"/>
        <v>6</v>
      </c>
      <c r="D527" t="s">
        <v>216</v>
      </c>
      <c r="E527" t="s">
        <v>727</v>
      </c>
      <c r="F527" t="s">
        <v>13</v>
      </c>
      <c r="G527" t="s">
        <v>14</v>
      </c>
      <c r="H527" t="s">
        <v>37</v>
      </c>
      <c r="I527" t="s">
        <v>27</v>
      </c>
      <c r="J527" t="s">
        <v>118</v>
      </c>
      <c r="K527">
        <v>8</v>
      </c>
      <c r="L527" s="4">
        <v>4397.54</v>
      </c>
      <c r="M527">
        <v>545.44000000000005</v>
      </c>
    </row>
    <row r="528" spans="1:13" x14ac:dyDescent="0.25">
      <c r="A528">
        <v>10527</v>
      </c>
      <c r="B528" t="str">
        <f t="shared" si="16"/>
        <v>Jan</v>
      </c>
      <c r="C528">
        <f t="shared" si="17"/>
        <v>1</v>
      </c>
      <c r="D528" t="s">
        <v>728</v>
      </c>
      <c r="E528" t="s">
        <v>724</v>
      </c>
      <c r="F528" t="s">
        <v>31</v>
      </c>
      <c r="G528" t="s">
        <v>32</v>
      </c>
      <c r="H528" t="s">
        <v>33</v>
      </c>
      <c r="I528" t="s">
        <v>22</v>
      </c>
      <c r="J528" t="s">
        <v>38</v>
      </c>
      <c r="K528">
        <v>1</v>
      </c>
      <c r="L528" s="4">
        <v>3911.17</v>
      </c>
      <c r="M528">
        <v>1044.25</v>
      </c>
    </row>
    <row r="529" spans="1:13" x14ac:dyDescent="0.25">
      <c r="A529">
        <v>10528</v>
      </c>
      <c r="B529" t="str">
        <f t="shared" si="16"/>
        <v>Sep</v>
      </c>
      <c r="C529">
        <f t="shared" si="17"/>
        <v>9</v>
      </c>
      <c r="D529" t="s">
        <v>288</v>
      </c>
      <c r="E529" t="s">
        <v>729</v>
      </c>
      <c r="F529" t="s">
        <v>26</v>
      </c>
      <c r="G529" t="s">
        <v>46</v>
      </c>
      <c r="H529" t="s">
        <v>71</v>
      </c>
      <c r="I529" t="s">
        <v>27</v>
      </c>
      <c r="J529" t="s">
        <v>77</v>
      </c>
      <c r="K529">
        <v>5</v>
      </c>
      <c r="L529" s="4">
        <v>3900.11</v>
      </c>
      <c r="M529">
        <v>247.54</v>
      </c>
    </row>
    <row r="530" spans="1:13" x14ac:dyDescent="0.25">
      <c r="A530">
        <v>10529</v>
      </c>
      <c r="B530" t="str">
        <f t="shared" si="16"/>
        <v>Nov</v>
      </c>
      <c r="C530">
        <f t="shared" si="17"/>
        <v>11</v>
      </c>
      <c r="D530" t="s">
        <v>522</v>
      </c>
      <c r="E530" t="s">
        <v>730</v>
      </c>
      <c r="F530" t="s">
        <v>26</v>
      </c>
      <c r="G530" t="s">
        <v>46</v>
      </c>
      <c r="H530" t="s">
        <v>71</v>
      </c>
      <c r="I530" t="s">
        <v>27</v>
      </c>
      <c r="J530" t="s">
        <v>77</v>
      </c>
      <c r="K530">
        <v>2</v>
      </c>
      <c r="L530" s="4">
        <v>120.14</v>
      </c>
      <c r="M530">
        <v>-34.700000000000003</v>
      </c>
    </row>
    <row r="531" spans="1:13" x14ac:dyDescent="0.25">
      <c r="A531">
        <v>10530</v>
      </c>
      <c r="B531" t="str">
        <f t="shared" si="16"/>
        <v>Apr</v>
      </c>
      <c r="C531">
        <f t="shared" si="17"/>
        <v>4</v>
      </c>
      <c r="D531" t="s">
        <v>565</v>
      </c>
      <c r="E531" t="s">
        <v>309</v>
      </c>
      <c r="F531" t="s">
        <v>26</v>
      </c>
      <c r="G531" t="s">
        <v>32</v>
      </c>
      <c r="H531" t="s">
        <v>54</v>
      </c>
      <c r="I531" t="s">
        <v>22</v>
      </c>
      <c r="J531" t="s">
        <v>23</v>
      </c>
      <c r="K531">
        <v>5</v>
      </c>
      <c r="L531" s="4">
        <v>210.15</v>
      </c>
      <c r="M531">
        <v>-13.53</v>
      </c>
    </row>
    <row r="532" spans="1:13" x14ac:dyDescent="0.25">
      <c r="A532">
        <v>10531</v>
      </c>
      <c r="B532" t="str">
        <f t="shared" si="16"/>
        <v>Feb</v>
      </c>
      <c r="C532">
        <f t="shared" si="17"/>
        <v>2</v>
      </c>
      <c r="D532" t="s">
        <v>731</v>
      </c>
      <c r="E532" t="s">
        <v>238</v>
      </c>
      <c r="F532" t="s">
        <v>13</v>
      </c>
      <c r="G532" t="s">
        <v>46</v>
      </c>
      <c r="H532" t="s">
        <v>47</v>
      </c>
      <c r="I532" t="s">
        <v>27</v>
      </c>
      <c r="J532" t="s">
        <v>28</v>
      </c>
      <c r="K532">
        <v>8</v>
      </c>
      <c r="L532" s="4">
        <v>3388.51</v>
      </c>
      <c r="M532">
        <v>384.65</v>
      </c>
    </row>
    <row r="533" spans="1:13" x14ac:dyDescent="0.25">
      <c r="A533">
        <v>10532</v>
      </c>
      <c r="B533" t="str">
        <f t="shared" si="16"/>
        <v>Oct</v>
      </c>
      <c r="C533">
        <f t="shared" si="17"/>
        <v>10</v>
      </c>
      <c r="D533" t="s">
        <v>251</v>
      </c>
      <c r="E533" t="s">
        <v>732</v>
      </c>
      <c r="F533" t="s">
        <v>26</v>
      </c>
      <c r="G533" t="s">
        <v>14</v>
      </c>
      <c r="H533" t="s">
        <v>15</v>
      </c>
      <c r="I533" t="s">
        <v>16</v>
      </c>
      <c r="J533" t="s">
        <v>17</v>
      </c>
      <c r="K533">
        <v>6</v>
      </c>
      <c r="L533" s="4">
        <v>1428.16</v>
      </c>
      <c r="M533">
        <v>327.8</v>
      </c>
    </row>
    <row r="534" spans="1:13" x14ac:dyDescent="0.25">
      <c r="A534">
        <v>10533</v>
      </c>
      <c r="B534" t="str">
        <f t="shared" si="16"/>
        <v>Jan</v>
      </c>
      <c r="C534">
        <f t="shared" si="17"/>
        <v>1</v>
      </c>
      <c r="D534" t="s">
        <v>733</v>
      </c>
      <c r="E534" t="s">
        <v>734</v>
      </c>
      <c r="F534" t="s">
        <v>31</v>
      </c>
      <c r="G534" t="s">
        <v>14</v>
      </c>
      <c r="H534" t="s">
        <v>37</v>
      </c>
      <c r="I534" t="s">
        <v>16</v>
      </c>
      <c r="J534" t="s">
        <v>17</v>
      </c>
      <c r="K534">
        <v>8</v>
      </c>
      <c r="L534" s="4">
        <v>348.56</v>
      </c>
      <c r="M534">
        <v>-70.37</v>
      </c>
    </row>
    <row r="535" spans="1:13" x14ac:dyDescent="0.25">
      <c r="A535">
        <v>10534</v>
      </c>
      <c r="B535" t="str">
        <f t="shared" si="16"/>
        <v>Dec</v>
      </c>
      <c r="C535">
        <f t="shared" si="17"/>
        <v>12</v>
      </c>
      <c r="D535" t="s">
        <v>232</v>
      </c>
      <c r="E535" t="s">
        <v>735</v>
      </c>
      <c r="F535" t="s">
        <v>31</v>
      </c>
      <c r="G535" t="s">
        <v>14</v>
      </c>
      <c r="H535" t="s">
        <v>15</v>
      </c>
      <c r="I535" t="s">
        <v>27</v>
      </c>
      <c r="J535" t="s">
        <v>77</v>
      </c>
      <c r="K535">
        <v>3</v>
      </c>
      <c r="L535" s="4">
        <v>3552.92</v>
      </c>
      <c r="M535">
        <v>906.36</v>
      </c>
    </row>
    <row r="536" spans="1:13" x14ac:dyDescent="0.25">
      <c r="A536">
        <v>10535</v>
      </c>
      <c r="B536" t="str">
        <f t="shared" si="16"/>
        <v>Mar</v>
      </c>
      <c r="C536">
        <f t="shared" si="17"/>
        <v>3</v>
      </c>
      <c r="D536" t="s">
        <v>221</v>
      </c>
      <c r="E536" t="s">
        <v>736</v>
      </c>
      <c r="F536" t="s">
        <v>13</v>
      </c>
      <c r="G536" t="s">
        <v>32</v>
      </c>
      <c r="H536" t="s">
        <v>54</v>
      </c>
      <c r="I536" t="s">
        <v>27</v>
      </c>
      <c r="J536" t="s">
        <v>104</v>
      </c>
      <c r="K536">
        <v>2</v>
      </c>
      <c r="L536" s="4">
        <v>4871.04</v>
      </c>
      <c r="M536">
        <v>1117.3</v>
      </c>
    </row>
    <row r="537" spans="1:13" x14ac:dyDescent="0.25">
      <c r="A537">
        <v>10536</v>
      </c>
      <c r="B537" t="str">
        <f t="shared" si="16"/>
        <v>Nov</v>
      </c>
      <c r="C537">
        <f t="shared" si="17"/>
        <v>11</v>
      </c>
      <c r="D537" t="s">
        <v>336</v>
      </c>
      <c r="E537" t="s">
        <v>737</v>
      </c>
      <c r="F537" t="s">
        <v>31</v>
      </c>
      <c r="G537" t="s">
        <v>20</v>
      </c>
      <c r="H537" t="s">
        <v>21</v>
      </c>
      <c r="I537" t="s">
        <v>27</v>
      </c>
      <c r="J537" t="s">
        <v>28</v>
      </c>
      <c r="K537">
        <v>8</v>
      </c>
      <c r="L537" s="4">
        <v>2405.67</v>
      </c>
      <c r="M537">
        <v>675.72</v>
      </c>
    </row>
    <row r="538" spans="1:13" x14ac:dyDescent="0.25">
      <c r="A538">
        <v>10537</v>
      </c>
      <c r="B538" t="str">
        <f t="shared" si="16"/>
        <v>Jun</v>
      </c>
      <c r="C538">
        <f t="shared" si="17"/>
        <v>6</v>
      </c>
      <c r="D538" t="s">
        <v>268</v>
      </c>
      <c r="E538" t="s">
        <v>430</v>
      </c>
      <c r="F538" t="s">
        <v>31</v>
      </c>
      <c r="G538" t="s">
        <v>20</v>
      </c>
      <c r="H538" t="s">
        <v>21</v>
      </c>
      <c r="I538" t="s">
        <v>16</v>
      </c>
      <c r="J538" t="s">
        <v>17</v>
      </c>
      <c r="K538">
        <v>6</v>
      </c>
      <c r="L538" s="4">
        <v>2321.09</v>
      </c>
      <c r="M538">
        <v>86.08</v>
      </c>
    </row>
    <row r="539" spans="1:13" x14ac:dyDescent="0.25">
      <c r="A539">
        <v>10538</v>
      </c>
      <c r="B539" t="str">
        <f t="shared" si="16"/>
        <v>Oct</v>
      </c>
      <c r="C539">
        <f t="shared" si="17"/>
        <v>10</v>
      </c>
      <c r="D539" t="s">
        <v>738</v>
      </c>
      <c r="E539" t="s">
        <v>739</v>
      </c>
      <c r="F539" t="s">
        <v>26</v>
      </c>
      <c r="G539" t="s">
        <v>46</v>
      </c>
      <c r="H539" t="s">
        <v>47</v>
      </c>
      <c r="I539" t="s">
        <v>27</v>
      </c>
      <c r="J539" t="s">
        <v>104</v>
      </c>
      <c r="K539">
        <v>2</v>
      </c>
      <c r="L539" s="4">
        <v>2087.86</v>
      </c>
      <c r="M539">
        <v>466.52</v>
      </c>
    </row>
    <row r="540" spans="1:13" x14ac:dyDescent="0.25">
      <c r="A540">
        <v>10539</v>
      </c>
      <c r="B540" t="str">
        <f t="shared" si="16"/>
        <v>Jul</v>
      </c>
      <c r="C540">
        <f t="shared" si="17"/>
        <v>7</v>
      </c>
      <c r="D540" t="s">
        <v>567</v>
      </c>
      <c r="E540" t="s">
        <v>481</v>
      </c>
      <c r="F540" t="s">
        <v>31</v>
      </c>
      <c r="G540" t="s">
        <v>32</v>
      </c>
      <c r="H540" t="s">
        <v>54</v>
      </c>
      <c r="I540" t="s">
        <v>27</v>
      </c>
      <c r="J540" t="s">
        <v>77</v>
      </c>
      <c r="K540">
        <v>4</v>
      </c>
      <c r="L540" s="4">
        <v>3142.29</v>
      </c>
      <c r="M540">
        <v>490.18</v>
      </c>
    </row>
    <row r="541" spans="1:13" x14ac:dyDescent="0.25">
      <c r="A541">
        <v>10540</v>
      </c>
      <c r="B541" t="str">
        <f t="shared" si="16"/>
        <v>Dec</v>
      </c>
      <c r="C541">
        <f t="shared" si="17"/>
        <v>12</v>
      </c>
      <c r="D541" t="s">
        <v>415</v>
      </c>
      <c r="E541" t="s">
        <v>740</v>
      </c>
      <c r="F541" t="s">
        <v>31</v>
      </c>
      <c r="G541" t="s">
        <v>46</v>
      </c>
      <c r="H541" t="s">
        <v>47</v>
      </c>
      <c r="I541" t="s">
        <v>27</v>
      </c>
      <c r="J541" t="s">
        <v>28</v>
      </c>
      <c r="K541">
        <v>4</v>
      </c>
      <c r="L541" s="4">
        <v>948.12</v>
      </c>
      <c r="M541">
        <v>132.19</v>
      </c>
    </row>
    <row r="542" spans="1:13" x14ac:dyDescent="0.25">
      <c r="A542">
        <v>10541</v>
      </c>
      <c r="B542" t="str">
        <f t="shared" si="16"/>
        <v>Feb</v>
      </c>
      <c r="C542">
        <f t="shared" si="17"/>
        <v>2</v>
      </c>
      <c r="D542" t="s">
        <v>517</v>
      </c>
      <c r="E542" t="s">
        <v>741</v>
      </c>
      <c r="F542" t="s">
        <v>13</v>
      </c>
      <c r="G542" t="s">
        <v>14</v>
      </c>
      <c r="H542" t="s">
        <v>37</v>
      </c>
      <c r="I542" t="s">
        <v>27</v>
      </c>
      <c r="J542" t="s">
        <v>118</v>
      </c>
      <c r="K542">
        <v>8</v>
      </c>
      <c r="L542" s="4">
        <v>963.25</v>
      </c>
      <c r="M542">
        <v>271.39</v>
      </c>
    </row>
    <row r="543" spans="1:13" x14ac:dyDescent="0.25">
      <c r="A543">
        <v>10542</v>
      </c>
      <c r="B543" t="str">
        <f t="shared" si="16"/>
        <v>Nov</v>
      </c>
      <c r="C543">
        <f t="shared" si="17"/>
        <v>11</v>
      </c>
      <c r="D543" t="s">
        <v>185</v>
      </c>
      <c r="E543" t="s">
        <v>742</v>
      </c>
      <c r="F543" t="s">
        <v>26</v>
      </c>
      <c r="G543" t="s">
        <v>20</v>
      </c>
      <c r="H543" t="s">
        <v>76</v>
      </c>
      <c r="I543" t="s">
        <v>27</v>
      </c>
      <c r="J543" t="s">
        <v>118</v>
      </c>
      <c r="K543">
        <v>2</v>
      </c>
      <c r="L543" s="4">
        <v>1166.3</v>
      </c>
      <c r="M543">
        <v>40.74</v>
      </c>
    </row>
    <row r="544" spans="1:13" x14ac:dyDescent="0.25">
      <c r="A544">
        <v>10543</v>
      </c>
      <c r="B544" t="str">
        <f t="shared" si="16"/>
        <v>Jun</v>
      </c>
      <c r="C544">
        <f t="shared" si="17"/>
        <v>6</v>
      </c>
      <c r="D544" t="s">
        <v>743</v>
      </c>
      <c r="E544" t="s">
        <v>744</v>
      </c>
      <c r="F544" t="s">
        <v>13</v>
      </c>
      <c r="G544" t="s">
        <v>46</v>
      </c>
      <c r="H544" t="s">
        <v>71</v>
      </c>
      <c r="I544" t="s">
        <v>27</v>
      </c>
      <c r="J544" t="s">
        <v>28</v>
      </c>
      <c r="K544">
        <v>7</v>
      </c>
      <c r="L544" s="4">
        <v>3116.3</v>
      </c>
      <c r="M544">
        <v>483.62</v>
      </c>
    </row>
    <row r="545" spans="1:13" x14ac:dyDescent="0.25">
      <c r="A545">
        <v>10544</v>
      </c>
      <c r="B545" t="str">
        <f t="shared" si="16"/>
        <v>Mar</v>
      </c>
      <c r="C545">
        <f t="shared" si="17"/>
        <v>3</v>
      </c>
      <c r="D545" t="s">
        <v>745</v>
      </c>
      <c r="E545" t="s">
        <v>746</v>
      </c>
      <c r="F545" t="s">
        <v>31</v>
      </c>
      <c r="G545" t="s">
        <v>32</v>
      </c>
      <c r="H545" t="s">
        <v>54</v>
      </c>
      <c r="I545" t="s">
        <v>16</v>
      </c>
      <c r="J545" t="s">
        <v>17</v>
      </c>
      <c r="K545">
        <v>2</v>
      </c>
      <c r="L545" s="4">
        <v>2955.36</v>
      </c>
      <c r="M545">
        <v>548.52</v>
      </c>
    </row>
    <row r="546" spans="1:13" x14ac:dyDescent="0.25">
      <c r="A546">
        <v>10545</v>
      </c>
      <c r="B546" t="str">
        <f t="shared" si="16"/>
        <v>May</v>
      </c>
      <c r="C546">
        <f t="shared" si="17"/>
        <v>5</v>
      </c>
      <c r="D546" t="s">
        <v>276</v>
      </c>
      <c r="E546" t="s">
        <v>747</v>
      </c>
      <c r="F546" t="s">
        <v>26</v>
      </c>
      <c r="G546" t="s">
        <v>14</v>
      </c>
      <c r="H546" t="s">
        <v>37</v>
      </c>
      <c r="I546" t="s">
        <v>16</v>
      </c>
      <c r="J546" t="s">
        <v>81</v>
      </c>
      <c r="K546">
        <v>1</v>
      </c>
      <c r="L546" s="4">
        <v>3546.44</v>
      </c>
      <c r="M546">
        <v>869.09</v>
      </c>
    </row>
    <row r="547" spans="1:13" x14ac:dyDescent="0.25">
      <c r="A547">
        <v>10546</v>
      </c>
      <c r="B547" t="str">
        <f t="shared" si="16"/>
        <v>Apr</v>
      </c>
      <c r="C547">
        <f t="shared" si="17"/>
        <v>4</v>
      </c>
      <c r="D547" t="s">
        <v>260</v>
      </c>
      <c r="E547" t="s">
        <v>748</v>
      </c>
      <c r="F547" t="s">
        <v>26</v>
      </c>
      <c r="G547" t="s">
        <v>46</v>
      </c>
      <c r="H547" t="s">
        <v>47</v>
      </c>
      <c r="I547" t="s">
        <v>16</v>
      </c>
      <c r="J547" t="s">
        <v>51</v>
      </c>
      <c r="K547">
        <v>6</v>
      </c>
      <c r="L547" s="4">
        <v>3587.69</v>
      </c>
      <c r="M547">
        <v>500.05</v>
      </c>
    </row>
    <row r="548" spans="1:13" x14ac:dyDescent="0.25">
      <c r="A548">
        <v>10547</v>
      </c>
      <c r="B548" t="str">
        <f t="shared" si="16"/>
        <v>Dec</v>
      </c>
      <c r="C548">
        <f t="shared" si="17"/>
        <v>12</v>
      </c>
      <c r="D548" t="s">
        <v>312</v>
      </c>
      <c r="E548" t="s">
        <v>749</v>
      </c>
      <c r="F548" t="s">
        <v>26</v>
      </c>
      <c r="G548" t="s">
        <v>20</v>
      </c>
      <c r="H548" t="s">
        <v>21</v>
      </c>
      <c r="I548" t="s">
        <v>22</v>
      </c>
      <c r="J548" t="s">
        <v>34</v>
      </c>
      <c r="K548">
        <v>6</v>
      </c>
      <c r="L548" s="4">
        <v>4215.82</v>
      </c>
      <c r="M548">
        <v>273.64</v>
      </c>
    </row>
    <row r="549" spans="1:13" x14ac:dyDescent="0.25">
      <c r="A549">
        <v>10548</v>
      </c>
      <c r="B549" t="str">
        <f t="shared" si="16"/>
        <v>Mar</v>
      </c>
      <c r="C549">
        <f t="shared" si="17"/>
        <v>3</v>
      </c>
      <c r="D549" t="s">
        <v>303</v>
      </c>
      <c r="E549" t="s">
        <v>123</v>
      </c>
      <c r="F549" t="s">
        <v>26</v>
      </c>
      <c r="G549" t="s">
        <v>14</v>
      </c>
      <c r="H549" t="s">
        <v>15</v>
      </c>
      <c r="I549" t="s">
        <v>16</v>
      </c>
      <c r="J549" t="s">
        <v>81</v>
      </c>
      <c r="K549">
        <v>3</v>
      </c>
      <c r="L549" s="4">
        <v>3634.56</v>
      </c>
      <c r="M549">
        <v>580.29</v>
      </c>
    </row>
    <row r="550" spans="1:13" x14ac:dyDescent="0.25">
      <c r="A550">
        <v>10549</v>
      </c>
      <c r="B550" t="str">
        <f t="shared" si="16"/>
        <v>Jul</v>
      </c>
      <c r="C550">
        <f t="shared" si="17"/>
        <v>7</v>
      </c>
      <c r="D550" t="s">
        <v>567</v>
      </c>
      <c r="E550" t="s">
        <v>750</v>
      </c>
      <c r="F550" t="s">
        <v>26</v>
      </c>
      <c r="G550" t="s">
        <v>20</v>
      </c>
      <c r="H550" t="s">
        <v>76</v>
      </c>
      <c r="I550" t="s">
        <v>16</v>
      </c>
      <c r="J550" t="s">
        <v>51</v>
      </c>
      <c r="K550">
        <v>3</v>
      </c>
      <c r="L550" s="4">
        <v>2326.5300000000002</v>
      </c>
      <c r="M550">
        <v>281</v>
      </c>
    </row>
    <row r="551" spans="1:13" x14ac:dyDescent="0.25">
      <c r="A551">
        <v>10550</v>
      </c>
      <c r="B551" t="str">
        <f t="shared" si="16"/>
        <v>Jul</v>
      </c>
      <c r="C551">
        <f t="shared" si="17"/>
        <v>7</v>
      </c>
      <c r="D551" t="s">
        <v>187</v>
      </c>
      <c r="E551" t="s">
        <v>708</v>
      </c>
      <c r="F551" t="s">
        <v>13</v>
      </c>
      <c r="G551" t="s">
        <v>46</v>
      </c>
      <c r="H551" t="s">
        <v>47</v>
      </c>
      <c r="I551" t="s">
        <v>16</v>
      </c>
      <c r="J551" t="s">
        <v>81</v>
      </c>
      <c r="K551">
        <v>8</v>
      </c>
      <c r="L551" s="4">
        <v>4249.34</v>
      </c>
      <c r="M551">
        <v>413.8</v>
      </c>
    </row>
    <row r="552" spans="1:13" x14ac:dyDescent="0.25">
      <c r="A552">
        <v>10551</v>
      </c>
      <c r="B552" t="str">
        <f t="shared" si="16"/>
        <v>Mar</v>
      </c>
      <c r="C552">
        <f t="shared" si="17"/>
        <v>3</v>
      </c>
      <c r="D552" t="s">
        <v>435</v>
      </c>
      <c r="E552" t="s">
        <v>30</v>
      </c>
      <c r="F552" t="s">
        <v>13</v>
      </c>
      <c r="G552" t="s">
        <v>32</v>
      </c>
      <c r="H552" t="s">
        <v>33</v>
      </c>
      <c r="I552" t="s">
        <v>22</v>
      </c>
      <c r="J552" t="s">
        <v>34</v>
      </c>
      <c r="K552">
        <v>6</v>
      </c>
      <c r="L552" s="4">
        <v>654.51</v>
      </c>
      <c r="M552">
        <v>42.47</v>
      </c>
    </row>
    <row r="553" spans="1:13" x14ac:dyDescent="0.25">
      <c r="A553">
        <v>10552</v>
      </c>
      <c r="B553" t="str">
        <f t="shared" si="16"/>
        <v>Dec</v>
      </c>
      <c r="C553">
        <f t="shared" si="17"/>
        <v>12</v>
      </c>
      <c r="D553" t="s">
        <v>622</v>
      </c>
      <c r="E553" t="s">
        <v>751</v>
      </c>
      <c r="F553" t="s">
        <v>13</v>
      </c>
      <c r="G553" t="s">
        <v>32</v>
      </c>
      <c r="H553" t="s">
        <v>54</v>
      </c>
      <c r="I553" t="s">
        <v>16</v>
      </c>
      <c r="J553" t="s">
        <v>81</v>
      </c>
      <c r="K553">
        <v>2</v>
      </c>
      <c r="L553" s="4">
        <v>1301.6300000000001</v>
      </c>
      <c r="M553">
        <v>203.93</v>
      </c>
    </row>
    <row r="554" spans="1:13" x14ac:dyDescent="0.25">
      <c r="A554">
        <v>10553</v>
      </c>
      <c r="B554" t="str">
        <f t="shared" si="16"/>
        <v>Jun</v>
      </c>
      <c r="C554">
        <f t="shared" si="17"/>
        <v>6</v>
      </c>
      <c r="D554" t="s">
        <v>305</v>
      </c>
      <c r="E554" t="s">
        <v>752</v>
      </c>
      <c r="F554" t="s">
        <v>31</v>
      </c>
      <c r="G554" t="s">
        <v>32</v>
      </c>
      <c r="H554" t="s">
        <v>33</v>
      </c>
      <c r="I554" t="s">
        <v>27</v>
      </c>
      <c r="J554" t="s">
        <v>118</v>
      </c>
      <c r="K554">
        <v>8</v>
      </c>
      <c r="L554" s="4">
        <v>2324.77</v>
      </c>
      <c r="M554">
        <v>585.42999999999995</v>
      </c>
    </row>
    <row r="555" spans="1:13" x14ac:dyDescent="0.25">
      <c r="A555">
        <v>10554</v>
      </c>
      <c r="B555" t="str">
        <f t="shared" si="16"/>
        <v>Aug</v>
      </c>
      <c r="C555">
        <f t="shared" si="17"/>
        <v>8</v>
      </c>
      <c r="D555" t="s">
        <v>203</v>
      </c>
      <c r="E555" t="s">
        <v>753</v>
      </c>
      <c r="F555" t="s">
        <v>26</v>
      </c>
      <c r="G555" t="s">
        <v>32</v>
      </c>
      <c r="H555" t="s">
        <v>54</v>
      </c>
      <c r="I555" t="s">
        <v>22</v>
      </c>
      <c r="J555" t="s">
        <v>23</v>
      </c>
      <c r="K555">
        <v>5</v>
      </c>
      <c r="L555" s="4">
        <v>3662.16</v>
      </c>
      <c r="M555">
        <v>693.06</v>
      </c>
    </row>
    <row r="556" spans="1:13" x14ac:dyDescent="0.25">
      <c r="A556">
        <v>10555</v>
      </c>
      <c r="B556" t="str">
        <f t="shared" si="16"/>
        <v>May</v>
      </c>
      <c r="C556">
        <f t="shared" si="17"/>
        <v>5</v>
      </c>
      <c r="D556" t="s">
        <v>24</v>
      </c>
      <c r="E556" t="s">
        <v>754</v>
      </c>
      <c r="F556" t="s">
        <v>26</v>
      </c>
      <c r="G556" t="s">
        <v>14</v>
      </c>
      <c r="H556" t="s">
        <v>37</v>
      </c>
      <c r="I556" t="s">
        <v>16</v>
      </c>
      <c r="J556" t="s">
        <v>81</v>
      </c>
      <c r="K556">
        <v>5</v>
      </c>
      <c r="L556" s="4">
        <v>2475.3200000000002</v>
      </c>
      <c r="M556">
        <v>194.56</v>
      </c>
    </row>
    <row r="557" spans="1:13" x14ac:dyDescent="0.25">
      <c r="A557">
        <v>10556</v>
      </c>
      <c r="B557" t="str">
        <f t="shared" si="16"/>
        <v>Dec</v>
      </c>
      <c r="C557">
        <f t="shared" si="17"/>
        <v>12</v>
      </c>
      <c r="D557" t="s">
        <v>63</v>
      </c>
      <c r="E557" t="s">
        <v>638</v>
      </c>
      <c r="F557" t="s">
        <v>31</v>
      </c>
      <c r="G557" t="s">
        <v>32</v>
      </c>
      <c r="H557" t="s">
        <v>54</v>
      </c>
      <c r="I557" t="s">
        <v>27</v>
      </c>
      <c r="J557" t="s">
        <v>118</v>
      </c>
      <c r="K557">
        <v>2</v>
      </c>
      <c r="L557" s="4">
        <v>3058.73</v>
      </c>
      <c r="M557">
        <v>775</v>
      </c>
    </row>
    <row r="558" spans="1:13" x14ac:dyDescent="0.25">
      <c r="A558">
        <v>10557</v>
      </c>
      <c r="B558" t="str">
        <f t="shared" si="16"/>
        <v>Feb</v>
      </c>
      <c r="C558">
        <f t="shared" si="17"/>
        <v>2</v>
      </c>
      <c r="D558" t="s">
        <v>431</v>
      </c>
      <c r="E558" t="s">
        <v>755</v>
      </c>
      <c r="F558" t="s">
        <v>13</v>
      </c>
      <c r="G558" t="s">
        <v>46</v>
      </c>
      <c r="H558" t="s">
        <v>47</v>
      </c>
      <c r="I558" t="s">
        <v>16</v>
      </c>
      <c r="J558" t="s">
        <v>43</v>
      </c>
      <c r="K558">
        <v>8</v>
      </c>
      <c r="L558" s="4">
        <v>985.97</v>
      </c>
      <c r="M558">
        <v>175.99</v>
      </c>
    </row>
    <row r="559" spans="1:13" x14ac:dyDescent="0.25">
      <c r="A559">
        <v>10558</v>
      </c>
      <c r="B559" t="str">
        <f t="shared" si="16"/>
        <v>Oct</v>
      </c>
      <c r="C559">
        <f t="shared" si="17"/>
        <v>10</v>
      </c>
      <c r="D559" t="s">
        <v>250</v>
      </c>
      <c r="E559" t="s">
        <v>756</v>
      </c>
      <c r="F559" t="s">
        <v>31</v>
      </c>
      <c r="G559" t="s">
        <v>46</v>
      </c>
      <c r="H559" t="s">
        <v>47</v>
      </c>
      <c r="I559" t="s">
        <v>27</v>
      </c>
      <c r="J559" t="s">
        <v>77</v>
      </c>
      <c r="K559">
        <v>4</v>
      </c>
      <c r="L559" s="4">
        <v>3337.27</v>
      </c>
      <c r="M559">
        <v>755.85</v>
      </c>
    </row>
    <row r="560" spans="1:13" x14ac:dyDescent="0.25">
      <c r="A560">
        <v>10559</v>
      </c>
      <c r="B560" t="str">
        <f t="shared" si="16"/>
        <v>Sep</v>
      </c>
      <c r="C560">
        <f t="shared" si="17"/>
        <v>9</v>
      </c>
      <c r="D560" t="s">
        <v>262</v>
      </c>
      <c r="E560" t="s">
        <v>178</v>
      </c>
      <c r="F560" t="s">
        <v>31</v>
      </c>
      <c r="G560" t="s">
        <v>14</v>
      </c>
      <c r="H560" t="s">
        <v>37</v>
      </c>
      <c r="I560" t="s">
        <v>22</v>
      </c>
      <c r="J560" t="s">
        <v>23</v>
      </c>
      <c r="K560">
        <v>3</v>
      </c>
      <c r="L560" s="4">
        <v>2373.67</v>
      </c>
      <c r="M560">
        <v>353.66</v>
      </c>
    </row>
    <row r="561" spans="1:13" x14ac:dyDescent="0.25">
      <c r="A561">
        <v>10560</v>
      </c>
      <c r="B561" t="str">
        <f t="shared" si="16"/>
        <v>Dec</v>
      </c>
      <c r="C561">
        <f t="shared" si="17"/>
        <v>12</v>
      </c>
      <c r="D561" t="s">
        <v>455</v>
      </c>
      <c r="E561" t="s">
        <v>89</v>
      </c>
      <c r="F561" t="s">
        <v>13</v>
      </c>
      <c r="G561" t="s">
        <v>20</v>
      </c>
      <c r="H561" t="s">
        <v>76</v>
      </c>
      <c r="I561" t="s">
        <v>27</v>
      </c>
      <c r="J561" t="s">
        <v>104</v>
      </c>
      <c r="K561">
        <v>7</v>
      </c>
      <c r="L561" s="4">
        <v>158.13</v>
      </c>
      <c r="M561">
        <v>-0.32</v>
      </c>
    </row>
    <row r="562" spans="1:13" x14ac:dyDescent="0.25">
      <c r="A562">
        <v>10561</v>
      </c>
      <c r="B562" t="str">
        <f t="shared" si="16"/>
        <v>May</v>
      </c>
      <c r="C562">
        <f t="shared" si="17"/>
        <v>5</v>
      </c>
      <c r="D562" t="s">
        <v>154</v>
      </c>
      <c r="E562" t="s">
        <v>200</v>
      </c>
      <c r="F562" t="s">
        <v>26</v>
      </c>
      <c r="G562" t="s">
        <v>14</v>
      </c>
      <c r="H562" t="s">
        <v>15</v>
      </c>
      <c r="I562" t="s">
        <v>16</v>
      </c>
      <c r="J562" t="s">
        <v>17</v>
      </c>
      <c r="K562">
        <v>7</v>
      </c>
      <c r="L562" s="4">
        <v>3091.38</v>
      </c>
      <c r="M562">
        <v>631.26</v>
      </c>
    </row>
    <row r="563" spans="1:13" x14ac:dyDescent="0.25">
      <c r="A563">
        <v>10562</v>
      </c>
      <c r="B563" t="str">
        <f t="shared" si="16"/>
        <v>Jun</v>
      </c>
      <c r="C563">
        <f t="shared" si="17"/>
        <v>6</v>
      </c>
      <c r="D563" t="s">
        <v>112</v>
      </c>
      <c r="E563" t="s">
        <v>715</v>
      </c>
      <c r="F563" t="s">
        <v>26</v>
      </c>
      <c r="G563" t="s">
        <v>32</v>
      </c>
      <c r="H563" t="s">
        <v>54</v>
      </c>
      <c r="I563" t="s">
        <v>27</v>
      </c>
      <c r="J563" t="s">
        <v>104</v>
      </c>
      <c r="K563">
        <v>4</v>
      </c>
      <c r="L563" s="4">
        <v>2647.77</v>
      </c>
      <c r="M563">
        <v>481.68</v>
      </c>
    </row>
    <row r="564" spans="1:13" x14ac:dyDescent="0.25">
      <c r="A564">
        <v>10563</v>
      </c>
      <c r="B564" t="str">
        <f t="shared" si="16"/>
        <v>May</v>
      </c>
      <c r="C564">
        <f t="shared" si="17"/>
        <v>5</v>
      </c>
      <c r="D564" t="s">
        <v>757</v>
      </c>
      <c r="E564" t="s">
        <v>758</v>
      </c>
      <c r="F564" t="s">
        <v>26</v>
      </c>
      <c r="G564" t="s">
        <v>14</v>
      </c>
      <c r="H564" t="s">
        <v>15</v>
      </c>
      <c r="I564" t="s">
        <v>22</v>
      </c>
      <c r="J564" t="s">
        <v>34</v>
      </c>
      <c r="K564">
        <v>2</v>
      </c>
      <c r="L564" s="4">
        <v>2673.79</v>
      </c>
      <c r="M564">
        <v>556.76</v>
      </c>
    </row>
    <row r="565" spans="1:13" x14ac:dyDescent="0.25">
      <c r="A565">
        <v>10564</v>
      </c>
      <c r="B565" t="str">
        <f t="shared" si="16"/>
        <v>Nov</v>
      </c>
      <c r="C565">
        <f t="shared" si="17"/>
        <v>11</v>
      </c>
      <c r="D565" t="s">
        <v>429</v>
      </c>
      <c r="E565" t="s">
        <v>759</v>
      </c>
      <c r="F565" t="s">
        <v>26</v>
      </c>
      <c r="G565" t="s">
        <v>14</v>
      </c>
      <c r="H565" t="s">
        <v>15</v>
      </c>
      <c r="I565" t="s">
        <v>16</v>
      </c>
      <c r="J565" t="s">
        <v>81</v>
      </c>
      <c r="K565">
        <v>1</v>
      </c>
      <c r="L565" s="4">
        <v>4698.68</v>
      </c>
      <c r="M565">
        <v>922.68</v>
      </c>
    </row>
    <row r="566" spans="1:13" x14ac:dyDescent="0.25">
      <c r="A566">
        <v>10565</v>
      </c>
      <c r="B566" t="str">
        <f t="shared" si="16"/>
        <v>Apr</v>
      </c>
      <c r="C566">
        <f t="shared" si="17"/>
        <v>4</v>
      </c>
      <c r="D566" t="s">
        <v>652</v>
      </c>
      <c r="E566" t="s">
        <v>259</v>
      </c>
      <c r="F566" t="s">
        <v>13</v>
      </c>
      <c r="G566" t="s">
        <v>14</v>
      </c>
      <c r="H566" t="s">
        <v>15</v>
      </c>
      <c r="I566" t="s">
        <v>16</v>
      </c>
      <c r="J566" t="s">
        <v>43</v>
      </c>
      <c r="K566">
        <v>7</v>
      </c>
      <c r="L566" s="4">
        <v>3316.33</v>
      </c>
      <c r="M566">
        <v>855.3</v>
      </c>
    </row>
    <row r="567" spans="1:13" x14ac:dyDescent="0.25">
      <c r="A567">
        <v>10566</v>
      </c>
      <c r="B567" t="str">
        <f t="shared" si="16"/>
        <v>Aug</v>
      </c>
      <c r="C567">
        <f t="shared" si="17"/>
        <v>8</v>
      </c>
      <c r="D567" t="s">
        <v>760</v>
      </c>
      <c r="E567" t="s">
        <v>761</v>
      </c>
      <c r="F567" t="s">
        <v>13</v>
      </c>
      <c r="G567" t="s">
        <v>46</v>
      </c>
      <c r="H567" t="s">
        <v>47</v>
      </c>
      <c r="I567" t="s">
        <v>27</v>
      </c>
      <c r="J567" t="s">
        <v>77</v>
      </c>
      <c r="K567">
        <v>2</v>
      </c>
      <c r="L567" s="4">
        <v>3230.02</v>
      </c>
      <c r="M567">
        <v>878.94</v>
      </c>
    </row>
    <row r="568" spans="1:13" x14ac:dyDescent="0.25">
      <c r="A568">
        <v>10567</v>
      </c>
      <c r="B568" t="str">
        <f t="shared" si="16"/>
        <v>Jan</v>
      </c>
      <c r="C568">
        <f t="shared" si="17"/>
        <v>1</v>
      </c>
      <c r="D568" t="s">
        <v>378</v>
      </c>
      <c r="E568" t="s">
        <v>737</v>
      </c>
      <c r="F568" t="s">
        <v>31</v>
      </c>
      <c r="G568" t="s">
        <v>32</v>
      </c>
      <c r="H568" t="s">
        <v>54</v>
      </c>
      <c r="I568" t="s">
        <v>22</v>
      </c>
      <c r="J568" t="s">
        <v>23</v>
      </c>
      <c r="K568">
        <v>5</v>
      </c>
      <c r="L568" s="4">
        <v>3907.82</v>
      </c>
      <c r="M568">
        <v>536.1</v>
      </c>
    </row>
    <row r="569" spans="1:13" x14ac:dyDescent="0.25">
      <c r="A569">
        <v>10568</v>
      </c>
      <c r="B569" t="str">
        <f t="shared" si="16"/>
        <v>Mar</v>
      </c>
      <c r="C569">
        <f t="shared" si="17"/>
        <v>3</v>
      </c>
      <c r="D569" t="s">
        <v>342</v>
      </c>
      <c r="E569" t="s">
        <v>762</v>
      </c>
      <c r="F569" t="s">
        <v>31</v>
      </c>
      <c r="G569" t="s">
        <v>46</v>
      </c>
      <c r="H569" t="s">
        <v>47</v>
      </c>
      <c r="I569" t="s">
        <v>22</v>
      </c>
      <c r="J569" t="s">
        <v>34</v>
      </c>
      <c r="K569">
        <v>4</v>
      </c>
      <c r="L569" s="4">
        <v>3090.48</v>
      </c>
      <c r="M569">
        <v>243.19</v>
      </c>
    </row>
    <row r="570" spans="1:13" x14ac:dyDescent="0.25">
      <c r="A570">
        <v>10569</v>
      </c>
      <c r="B570" t="str">
        <f t="shared" si="16"/>
        <v>Aug</v>
      </c>
      <c r="C570">
        <f t="shared" si="17"/>
        <v>8</v>
      </c>
      <c r="D570" t="s">
        <v>763</v>
      </c>
      <c r="E570" t="s">
        <v>696</v>
      </c>
      <c r="F570" t="s">
        <v>31</v>
      </c>
      <c r="G570" t="s">
        <v>46</v>
      </c>
      <c r="H570" t="s">
        <v>71</v>
      </c>
      <c r="I570" t="s">
        <v>27</v>
      </c>
      <c r="J570" t="s">
        <v>28</v>
      </c>
      <c r="K570">
        <v>2</v>
      </c>
      <c r="L570" s="4">
        <v>270.82</v>
      </c>
      <c r="M570">
        <v>-54.45</v>
      </c>
    </row>
    <row r="571" spans="1:13" x14ac:dyDescent="0.25">
      <c r="A571">
        <v>10570</v>
      </c>
      <c r="B571" t="str">
        <f t="shared" si="16"/>
        <v>Jan</v>
      </c>
      <c r="C571">
        <f t="shared" si="17"/>
        <v>1</v>
      </c>
      <c r="D571" t="s">
        <v>82</v>
      </c>
      <c r="E571" t="s">
        <v>304</v>
      </c>
      <c r="F571" t="s">
        <v>13</v>
      </c>
      <c r="G571" t="s">
        <v>46</v>
      </c>
      <c r="H571" t="s">
        <v>71</v>
      </c>
      <c r="I571" t="s">
        <v>22</v>
      </c>
      <c r="J571" t="s">
        <v>34</v>
      </c>
      <c r="K571">
        <v>5</v>
      </c>
      <c r="L571" s="4">
        <v>842.88</v>
      </c>
      <c r="M571">
        <v>72.510000000000005</v>
      </c>
    </row>
    <row r="572" spans="1:13" x14ac:dyDescent="0.25">
      <c r="A572">
        <v>10571</v>
      </c>
      <c r="B572" t="str">
        <f t="shared" si="16"/>
        <v>Sep</v>
      </c>
      <c r="C572">
        <f t="shared" si="17"/>
        <v>9</v>
      </c>
      <c r="D572" t="s">
        <v>648</v>
      </c>
      <c r="E572" t="s">
        <v>764</v>
      </c>
      <c r="F572" t="s">
        <v>13</v>
      </c>
      <c r="G572" t="s">
        <v>20</v>
      </c>
      <c r="H572" t="s">
        <v>76</v>
      </c>
      <c r="I572" t="s">
        <v>27</v>
      </c>
      <c r="J572" t="s">
        <v>77</v>
      </c>
      <c r="K572">
        <v>2</v>
      </c>
      <c r="L572" s="4">
        <v>2746.63</v>
      </c>
      <c r="M572">
        <v>44.19</v>
      </c>
    </row>
    <row r="573" spans="1:13" x14ac:dyDescent="0.25">
      <c r="A573">
        <v>10572</v>
      </c>
      <c r="B573" t="str">
        <f t="shared" si="16"/>
        <v>Jul</v>
      </c>
      <c r="C573">
        <f t="shared" si="17"/>
        <v>7</v>
      </c>
      <c r="D573" t="s">
        <v>313</v>
      </c>
      <c r="E573" t="s">
        <v>765</v>
      </c>
      <c r="F573" t="s">
        <v>31</v>
      </c>
      <c r="G573" t="s">
        <v>32</v>
      </c>
      <c r="H573" t="s">
        <v>54</v>
      </c>
      <c r="I573" t="s">
        <v>16</v>
      </c>
      <c r="J573" t="s">
        <v>17</v>
      </c>
      <c r="K573">
        <v>7</v>
      </c>
      <c r="L573" s="4">
        <v>370.45</v>
      </c>
      <c r="M573">
        <v>46.15</v>
      </c>
    </row>
    <row r="574" spans="1:13" x14ac:dyDescent="0.25">
      <c r="A574">
        <v>10573</v>
      </c>
      <c r="B574" t="str">
        <f t="shared" si="16"/>
        <v>Jun</v>
      </c>
      <c r="C574">
        <f t="shared" si="17"/>
        <v>6</v>
      </c>
      <c r="D574" t="s">
        <v>116</v>
      </c>
      <c r="E574" t="s">
        <v>766</v>
      </c>
      <c r="F574" t="s">
        <v>31</v>
      </c>
      <c r="G574" t="s">
        <v>14</v>
      </c>
      <c r="H574" t="s">
        <v>37</v>
      </c>
      <c r="I574" t="s">
        <v>27</v>
      </c>
      <c r="J574" t="s">
        <v>104</v>
      </c>
      <c r="K574">
        <v>3</v>
      </c>
      <c r="L574" s="4">
        <v>2816.93</v>
      </c>
      <c r="M574">
        <v>756.13</v>
      </c>
    </row>
    <row r="575" spans="1:13" x14ac:dyDescent="0.25">
      <c r="A575">
        <v>10574</v>
      </c>
      <c r="B575" t="str">
        <f t="shared" si="16"/>
        <v>Oct</v>
      </c>
      <c r="C575">
        <f t="shared" si="17"/>
        <v>10</v>
      </c>
      <c r="D575" t="s">
        <v>344</v>
      </c>
      <c r="E575" t="s">
        <v>767</v>
      </c>
      <c r="F575" t="s">
        <v>31</v>
      </c>
      <c r="G575" t="s">
        <v>14</v>
      </c>
      <c r="H575" t="s">
        <v>37</v>
      </c>
      <c r="I575" t="s">
        <v>27</v>
      </c>
      <c r="J575" t="s">
        <v>118</v>
      </c>
      <c r="K575">
        <v>8</v>
      </c>
      <c r="L575" s="4">
        <v>3703.09</v>
      </c>
      <c r="M575">
        <v>295.39999999999998</v>
      </c>
    </row>
    <row r="576" spans="1:13" x14ac:dyDescent="0.25">
      <c r="A576">
        <v>10575</v>
      </c>
      <c r="B576" t="str">
        <f t="shared" si="16"/>
        <v>Jan</v>
      </c>
      <c r="C576">
        <f t="shared" si="17"/>
        <v>1</v>
      </c>
      <c r="D576" t="s">
        <v>768</v>
      </c>
      <c r="E576" t="s">
        <v>769</v>
      </c>
      <c r="F576" t="s">
        <v>31</v>
      </c>
      <c r="G576" t="s">
        <v>20</v>
      </c>
      <c r="H576" t="s">
        <v>21</v>
      </c>
      <c r="I576" t="s">
        <v>16</v>
      </c>
      <c r="J576" t="s">
        <v>17</v>
      </c>
      <c r="K576">
        <v>8</v>
      </c>
      <c r="L576" s="4">
        <v>2716.31</v>
      </c>
      <c r="M576">
        <v>657.41</v>
      </c>
    </row>
    <row r="577" spans="1:13" x14ac:dyDescent="0.25">
      <c r="A577">
        <v>10576</v>
      </c>
      <c r="B577" t="str">
        <f t="shared" si="16"/>
        <v>Aug</v>
      </c>
      <c r="C577">
        <f t="shared" si="17"/>
        <v>8</v>
      </c>
      <c r="D577" t="s">
        <v>296</v>
      </c>
      <c r="E577" t="s">
        <v>770</v>
      </c>
      <c r="F577" t="s">
        <v>13</v>
      </c>
      <c r="G577" t="s">
        <v>14</v>
      </c>
      <c r="H577" t="s">
        <v>37</v>
      </c>
      <c r="I577" t="s">
        <v>16</v>
      </c>
      <c r="J577" t="s">
        <v>81</v>
      </c>
      <c r="K577">
        <v>7</v>
      </c>
      <c r="L577" s="4">
        <v>679.12</v>
      </c>
      <c r="M577">
        <v>104.25</v>
      </c>
    </row>
    <row r="578" spans="1:13" x14ac:dyDescent="0.25">
      <c r="A578">
        <v>10577</v>
      </c>
      <c r="B578" t="str">
        <f t="shared" ref="B578:B641" si="18">TEXT(D578,"mmm")</f>
        <v>Nov</v>
      </c>
      <c r="C578">
        <f t="shared" ref="C578:C641" si="19">MONTH(D578)</f>
        <v>11</v>
      </c>
      <c r="D578" t="s">
        <v>264</v>
      </c>
      <c r="E578" t="s">
        <v>168</v>
      </c>
      <c r="F578" t="s">
        <v>26</v>
      </c>
      <c r="G578" t="s">
        <v>46</v>
      </c>
      <c r="H578" t="s">
        <v>71</v>
      </c>
      <c r="I578" t="s">
        <v>22</v>
      </c>
      <c r="J578" t="s">
        <v>23</v>
      </c>
      <c r="K578">
        <v>3</v>
      </c>
      <c r="L578" s="4">
        <v>2495.58</v>
      </c>
      <c r="M578">
        <v>45.95</v>
      </c>
    </row>
    <row r="579" spans="1:13" x14ac:dyDescent="0.25">
      <c r="A579">
        <v>10578</v>
      </c>
      <c r="B579" t="str">
        <f t="shared" si="18"/>
        <v>Oct</v>
      </c>
      <c r="C579">
        <f t="shared" si="19"/>
        <v>10</v>
      </c>
      <c r="D579" t="s">
        <v>508</v>
      </c>
      <c r="E579" t="s">
        <v>771</v>
      </c>
      <c r="F579" t="s">
        <v>26</v>
      </c>
      <c r="G579" t="s">
        <v>46</v>
      </c>
      <c r="H579" t="s">
        <v>71</v>
      </c>
      <c r="I579" t="s">
        <v>22</v>
      </c>
      <c r="J579" t="s">
        <v>23</v>
      </c>
      <c r="K579">
        <v>5</v>
      </c>
      <c r="L579" s="4">
        <v>4121.62</v>
      </c>
      <c r="M579">
        <v>245.21</v>
      </c>
    </row>
    <row r="580" spans="1:13" x14ac:dyDescent="0.25">
      <c r="A580">
        <v>10579</v>
      </c>
      <c r="B580" t="str">
        <f t="shared" si="18"/>
        <v>Dec</v>
      </c>
      <c r="C580">
        <f t="shared" si="19"/>
        <v>12</v>
      </c>
      <c r="D580" t="s">
        <v>455</v>
      </c>
      <c r="E580" t="s">
        <v>772</v>
      </c>
      <c r="F580" t="s">
        <v>31</v>
      </c>
      <c r="G580" t="s">
        <v>14</v>
      </c>
      <c r="H580" t="s">
        <v>37</v>
      </c>
      <c r="I580" t="s">
        <v>16</v>
      </c>
      <c r="J580" t="s">
        <v>43</v>
      </c>
      <c r="K580">
        <v>2</v>
      </c>
      <c r="L580" s="4">
        <v>4041.82</v>
      </c>
      <c r="M580">
        <v>551.61</v>
      </c>
    </row>
    <row r="581" spans="1:13" x14ac:dyDescent="0.25">
      <c r="A581">
        <v>10580</v>
      </c>
      <c r="B581" t="str">
        <f t="shared" si="18"/>
        <v>Mar</v>
      </c>
      <c r="C581">
        <f t="shared" si="19"/>
        <v>3</v>
      </c>
      <c r="D581" t="s">
        <v>435</v>
      </c>
      <c r="E581" t="s">
        <v>590</v>
      </c>
      <c r="F581" t="s">
        <v>31</v>
      </c>
      <c r="G581" t="s">
        <v>14</v>
      </c>
      <c r="H581" t="s">
        <v>15</v>
      </c>
      <c r="I581" t="s">
        <v>27</v>
      </c>
      <c r="J581" t="s">
        <v>104</v>
      </c>
      <c r="K581">
        <v>1</v>
      </c>
      <c r="L581" s="4">
        <v>3006.12</v>
      </c>
      <c r="M581">
        <v>390.37</v>
      </c>
    </row>
    <row r="582" spans="1:13" x14ac:dyDescent="0.25">
      <c r="A582">
        <v>10581</v>
      </c>
      <c r="B582" t="str">
        <f t="shared" si="18"/>
        <v>Nov</v>
      </c>
      <c r="C582">
        <f t="shared" si="19"/>
        <v>11</v>
      </c>
      <c r="D582" t="s">
        <v>773</v>
      </c>
      <c r="E582" t="s">
        <v>774</v>
      </c>
      <c r="F582" t="s">
        <v>31</v>
      </c>
      <c r="G582" t="s">
        <v>46</v>
      </c>
      <c r="H582" t="s">
        <v>47</v>
      </c>
      <c r="I582" t="s">
        <v>16</v>
      </c>
      <c r="J582" t="s">
        <v>43</v>
      </c>
      <c r="K582">
        <v>8</v>
      </c>
      <c r="L582" s="4">
        <v>1293.8599999999999</v>
      </c>
      <c r="M582">
        <v>239.61</v>
      </c>
    </row>
    <row r="583" spans="1:13" x14ac:dyDescent="0.25">
      <c r="A583">
        <v>10582</v>
      </c>
      <c r="B583" t="str">
        <f t="shared" si="18"/>
        <v>Oct</v>
      </c>
      <c r="C583">
        <f t="shared" si="19"/>
        <v>10</v>
      </c>
      <c r="D583" t="s">
        <v>344</v>
      </c>
      <c r="E583" t="s">
        <v>775</v>
      </c>
      <c r="F583" t="s">
        <v>31</v>
      </c>
      <c r="G583" t="s">
        <v>46</v>
      </c>
      <c r="H583" t="s">
        <v>71</v>
      </c>
      <c r="I583" t="s">
        <v>27</v>
      </c>
      <c r="J583" t="s">
        <v>118</v>
      </c>
      <c r="K583">
        <v>1</v>
      </c>
      <c r="L583" s="4">
        <v>135.4</v>
      </c>
      <c r="M583">
        <v>-32.549999999999997</v>
      </c>
    </row>
    <row r="584" spans="1:13" x14ac:dyDescent="0.25">
      <c r="A584">
        <v>10583</v>
      </c>
      <c r="B584" t="str">
        <f t="shared" si="18"/>
        <v>Nov</v>
      </c>
      <c r="C584">
        <f t="shared" si="19"/>
        <v>11</v>
      </c>
      <c r="D584" t="s">
        <v>229</v>
      </c>
      <c r="E584" t="s">
        <v>761</v>
      </c>
      <c r="F584" t="s">
        <v>26</v>
      </c>
      <c r="G584" t="s">
        <v>20</v>
      </c>
      <c r="H584" t="s">
        <v>21</v>
      </c>
      <c r="I584" t="s">
        <v>22</v>
      </c>
      <c r="J584" t="s">
        <v>48</v>
      </c>
      <c r="K584">
        <v>5</v>
      </c>
      <c r="L584" s="4">
        <v>2663.13</v>
      </c>
      <c r="M584">
        <v>313.67</v>
      </c>
    </row>
    <row r="585" spans="1:13" x14ac:dyDescent="0.25">
      <c r="A585">
        <v>10584</v>
      </c>
      <c r="B585" t="str">
        <f t="shared" si="18"/>
        <v>Mar</v>
      </c>
      <c r="C585">
        <f t="shared" si="19"/>
        <v>3</v>
      </c>
      <c r="D585" t="s">
        <v>452</v>
      </c>
      <c r="E585" t="s">
        <v>506</v>
      </c>
      <c r="F585" t="s">
        <v>26</v>
      </c>
      <c r="G585" t="s">
        <v>46</v>
      </c>
      <c r="H585" t="s">
        <v>47</v>
      </c>
      <c r="I585" t="s">
        <v>16</v>
      </c>
      <c r="J585" t="s">
        <v>81</v>
      </c>
      <c r="K585">
        <v>5</v>
      </c>
      <c r="L585" s="4">
        <v>1804.48</v>
      </c>
      <c r="M585">
        <v>68.72</v>
      </c>
    </row>
    <row r="586" spans="1:13" x14ac:dyDescent="0.25">
      <c r="A586">
        <v>10585</v>
      </c>
      <c r="B586" t="str">
        <f t="shared" si="18"/>
        <v>Aug</v>
      </c>
      <c r="C586">
        <f t="shared" si="19"/>
        <v>8</v>
      </c>
      <c r="D586" t="s">
        <v>203</v>
      </c>
      <c r="E586" t="s">
        <v>776</v>
      </c>
      <c r="F586" t="s">
        <v>26</v>
      </c>
      <c r="G586" t="s">
        <v>32</v>
      </c>
      <c r="H586" t="s">
        <v>33</v>
      </c>
      <c r="I586" t="s">
        <v>27</v>
      </c>
      <c r="J586" t="s">
        <v>104</v>
      </c>
      <c r="K586">
        <v>5</v>
      </c>
      <c r="L586" s="4">
        <v>360.04</v>
      </c>
      <c r="M586">
        <v>13.22</v>
      </c>
    </row>
    <row r="587" spans="1:13" x14ac:dyDescent="0.25">
      <c r="A587">
        <v>10586</v>
      </c>
      <c r="B587" t="str">
        <f t="shared" si="18"/>
        <v>Aug</v>
      </c>
      <c r="C587">
        <f t="shared" si="19"/>
        <v>8</v>
      </c>
      <c r="D587" t="s">
        <v>245</v>
      </c>
      <c r="E587" t="s">
        <v>777</v>
      </c>
      <c r="F587" t="s">
        <v>26</v>
      </c>
      <c r="G587" t="s">
        <v>46</v>
      </c>
      <c r="H587" t="s">
        <v>71</v>
      </c>
      <c r="I587" t="s">
        <v>22</v>
      </c>
      <c r="J587" t="s">
        <v>38</v>
      </c>
      <c r="K587">
        <v>5</v>
      </c>
      <c r="L587" s="4">
        <v>1126.99</v>
      </c>
      <c r="M587">
        <v>65.489999999999995</v>
      </c>
    </row>
    <row r="588" spans="1:13" x14ac:dyDescent="0.25">
      <c r="A588">
        <v>10587</v>
      </c>
      <c r="B588" t="str">
        <f t="shared" si="18"/>
        <v>Aug</v>
      </c>
      <c r="C588">
        <f t="shared" si="19"/>
        <v>8</v>
      </c>
      <c r="D588" t="s">
        <v>310</v>
      </c>
      <c r="E588" t="s">
        <v>778</v>
      </c>
      <c r="F588" t="s">
        <v>13</v>
      </c>
      <c r="G588" t="s">
        <v>14</v>
      </c>
      <c r="H588" t="s">
        <v>15</v>
      </c>
      <c r="I588" t="s">
        <v>22</v>
      </c>
      <c r="J588" t="s">
        <v>23</v>
      </c>
      <c r="K588">
        <v>8</v>
      </c>
      <c r="L588" s="4">
        <v>2623.03</v>
      </c>
      <c r="M588">
        <v>154.09</v>
      </c>
    </row>
    <row r="589" spans="1:13" x14ac:dyDescent="0.25">
      <c r="A589">
        <v>10588</v>
      </c>
      <c r="B589" t="str">
        <f t="shared" si="18"/>
        <v>Jul</v>
      </c>
      <c r="C589">
        <f t="shared" si="19"/>
        <v>7</v>
      </c>
      <c r="D589" t="s">
        <v>593</v>
      </c>
      <c r="E589" t="s">
        <v>779</v>
      </c>
      <c r="F589" t="s">
        <v>26</v>
      </c>
      <c r="G589" t="s">
        <v>32</v>
      </c>
      <c r="H589" t="s">
        <v>54</v>
      </c>
      <c r="I589" t="s">
        <v>22</v>
      </c>
      <c r="J589" t="s">
        <v>38</v>
      </c>
      <c r="K589">
        <v>4</v>
      </c>
      <c r="L589" s="4">
        <v>3916.98</v>
      </c>
      <c r="M589">
        <v>505.41</v>
      </c>
    </row>
    <row r="590" spans="1:13" x14ac:dyDescent="0.25">
      <c r="A590">
        <v>10589</v>
      </c>
      <c r="B590" t="str">
        <f t="shared" si="18"/>
        <v>Nov</v>
      </c>
      <c r="C590">
        <f t="shared" si="19"/>
        <v>11</v>
      </c>
      <c r="D590" t="s">
        <v>229</v>
      </c>
      <c r="E590" t="s">
        <v>710</v>
      </c>
      <c r="F590" t="s">
        <v>26</v>
      </c>
      <c r="G590" t="s">
        <v>20</v>
      </c>
      <c r="H590" t="s">
        <v>21</v>
      </c>
      <c r="I590" t="s">
        <v>22</v>
      </c>
      <c r="J590" t="s">
        <v>34</v>
      </c>
      <c r="K590">
        <v>8</v>
      </c>
      <c r="L590" s="4">
        <v>366.26</v>
      </c>
      <c r="M590">
        <v>36.61</v>
      </c>
    </row>
    <row r="591" spans="1:13" x14ac:dyDescent="0.25">
      <c r="A591">
        <v>10590</v>
      </c>
      <c r="B591" t="str">
        <f t="shared" si="18"/>
        <v>Mar</v>
      </c>
      <c r="C591">
        <f t="shared" si="19"/>
        <v>3</v>
      </c>
      <c r="D591" t="s">
        <v>745</v>
      </c>
      <c r="E591" t="s">
        <v>780</v>
      </c>
      <c r="F591" t="s">
        <v>13</v>
      </c>
      <c r="G591" t="s">
        <v>20</v>
      </c>
      <c r="H591" t="s">
        <v>76</v>
      </c>
      <c r="I591" t="s">
        <v>22</v>
      </c>
      <c r="J591" t="s">
        <v>34</v>
      </c>
      <c r="K591">
        <v>4</v>
      </c>
      <c r="L591" s="4">
        <v>3196.9</v>
      </c>
      <c r="M591">
        <v>919.31</v>
      </c>
    </row>
    <row r="592" spans="1:13" x14ac:dyDescent="0.25">
      <c r="A592">
        <v>10591</v>
      </c>
      <c r="B592" t="str">
        <f t="shared" si="18"/>
        <v>Jun</v>
      </c>
      <c r="C592">
        <f t="shared" si="19"/>
        <v>6</v>
      </c>
      <c r="D592" t="s">
        <v>781</v>
      </c>
      <c r="E592" t="s">
        <v>782</v>
      </c>
      <c r="F592" t="s">
        <v>26</v>
      </c>
      <c r="G592" t="s">
        <v>14</v>
      </c>
      <c r="H592" t="s">
        <v>37</v>
      </c>
      <c r="I592" t="s">
        <v>22</v>
      </c>
      <c r="J592" t="s">
        <v>23</v>
      </c>
      <c r="K592">
        <v>8</v>
      </c>
      <c r="L592" s="4">
        <v>2347.04</v>
      </c>
      <c r="M592">
        <v>183.45</v>
      </c>
    </row>
    <row r="593" spans="1:13" x14ac:dyDescent="0.25">
      <c r="A593">
        <v>10592</v>
      </c>
      <c r="B593" t="str">
        <f t="shared" si="18"/>
        <v>Aug</v>
      </c>
      <c r="C593">
        <f t="shared" si="19"/>
        <v>8</v>
      </c>
      <c r="D593" t="s">
        <v>195</v>
      </c>
      <c r="E593" t="s">
        <v>441</v>
      </c>
      <c r="F593" t="s">
        <v>26</v>
      </c>
      <c r="G593" t="s">
        <v>46</v>
      </c>
      <c r="H593" t="s">
        <v>71</v>
      </c>
      <c r="I593" t="s">
        <v>22</v>
      </c>
      <c r="J593" t="s">
        <v>34</v>
      </c>
      <c r="K593">
        <v>8</v>
      </c>
      <c r="L593" s="4">
        <v>4324.78</v>
      </c>
      <c r="M593">
        <v>402.91</v>
      </c>
    </row>
    <row r="594" spans="1:13" x14ac:dyDescent="0.25">
      <c r="A594">
        <v>10593</v>
      </c>
      <c r="B594" t="str">
        <f t="shared" si="18"/>
        <v>Mar</v>
      </c>
      <c r="C594">
        <f t="shared" si="19"/>
        <v>3</v>
      </c>
      <c r="D594" t="s">
        <v>100</v>
      </c>
      <c r="E594" t="s">
        <v>740</v>
      </c>
      <c r="F594" t="s">
        <v>26</v>
      </c>
      <c r="G594" t="s">
        <v>20</v>
      </c>
      <c r="H594" t="s">
        <v>21</v>
      </c>
      <c r="I594" t="s">
        <v>22</v>
      </c>
      <c r="J594" t="s">
        <v>38</v>
      </c>
      <c r="K594">
        <v>7</v>
      </c>
      <c r="L594" s="4">
        <v>2939.39</v>
      </c>
      <c r="M594">
        <v>743.15</v>
      </c>
    </row>
    <row r="595" spans="1:13" x14ac:dyDescent="0.25">
      <c r="A595">
        <v>10594</v>
      </c>
      <c r="B595" t="str">
        <f t="shared" si="18"/>
        <v>Dec</v>
      </c>
      <c r="C595">
        <f t="shared" si="19"/>
        <v>12</v>
      </c>
      <c r="D595" t="s">
        <v>151</v>
      </c>
      <c r="E595" t="s">
        <v>516</v>
      </c>
      <c r="F595" t="s">
        <v>26</v>
      </c>
      <c r="G595" t="s">
        <v>20</v>
      </c>
      <c r="H595" t="s">
        <v>21</v>
      </c>
      <c r="I595" t="s">
        <v>22</v>
      </c>
      <c r="J595" t="s">
        <v>34</v>
      </c>
      <c r="K595">
        <v>1</v>
      </c>
      <c r="L595" s="4">
        <v>2185.92</v>
      </c>
      <c r="M595">
        <v>243.81</v>
      </c>
    </row>
    <row r="596" spans="1:13" x14ac:dyDescent="0.25">
      <c r="A596">
        <v>10595</v>
      </c>
      <c r="B596" t="str">
        <f t="shared" si="18"/>
        <v>Jul</v>
      </c>
      <c r="C596">
        <f t="shared" si="19"/>
        <v>7</v>
      </c>
      <c r="D596" t="s">
        <v>783</v>
      </c>
      <c r="E596" t="s">
        <v>397</v>
      </c>
      <c r="F596" t="s">
        <v>26</v>
      </c>
      <c r="G596" t="s">
        <v>20</v>
      </c>
      <c r="H596" t="s">
        <v>76</v>
      </c>
      <c r="I596" t="s">
        <v>22</v>
      </c>
      <c r="J596" t="s">
        <v>23</v>
      </c>
      <c r="K596">
        <v>1</v>
      </c>
      <c r="L596" s="4">
        <v>3496.48</v>
      </c>
      <c r="M596">
        <v>508.46</v>
      </c>
    </row>
    <row r="597" spans="1:13" x14ac:dyDescent="0.25">
      <c r="A597">
        <v>10596</v>
      </c>
      <c r="B597" t="str">
        <f t="shared" si="18"/>
        <v>Jan</v>
      </c>
      <c r="C597">
        <f t="shared" si="19"/>
        <v>1</v>
      </c>
      <c r="D597" t="s">
        <v>728</v>
      </c>
      <c r="E597" t="s">
        <v>710</v>
      </c>
      <c r="F597" t="s">
        <v>31</v>
      </c>
      <c r="G597" t="s">
        <v>14</v>
      </c>
      <c r="H597" t="s">
        <v>15</v>
      </c>
      <c r="I597" t="s">
        <v>27</v>
      </c>
      <c r="J597" t="s">
        <v>28</v>
      </c>
      <c r="K597">
        <v>3</v>
      </c>
      <c r="L597" s="4">
        <v>3546.19</v>
      </c>
      <c r="M597">
        <v>863.17</v>
      </c>
    </row>
    <row r="598" spans="1:13" x14ac:dyDescent="0.25">
      <c r="A598">
        <v>10597</v>
      </c>
      <c r="B598" t="str">
        <f t="shared" si="18"/>
        <v>Jul</v>
      </c>
      <c r="C598">
        <f t="shared" si="19"/>
        <v>7</v>
      </c>
      <c r="D598" t="s">
        <v>784</v>
      </c>
      <c r="E598" t="s">
        <v>160</v>
      </c>
      <c r="F598" t="s">
        <v>31</v>
      </c>
      <c r="G598" t="s">
        <v>46</v>
      </c>
      <c r="H598" t="s">
        <v>47</v>
      </c>
      <c r="I598" t="s">
        <v>22</v>
      </c>
      <c r="J598" t="s">
        <v>38</v>
      </c>
      <c r="K598">
        <v>8</v>
      </c>
      <c r="L598" s="4">
        <v>3549.12</v>
      </c>
      <c r="M598">
        <v>115.94</v>
      </c>
    </row>
    <row r="599" spans="1:13" x14ac:dyDescent="0.25">
      <c r="A599">
        <v>10598</v>
      </c>
      <c r="B599" t="str">
        <f t="shared" si="18"/>
        <v>Jan</v>
      </c>
      <c r="C599">
        <f t="shared" si="19"/>
        <v>1</v>
      </c>
      <c r="D599" t="s">
        <v>482</v>
      </c>
      <c r="E599" t="s">
        <v>304</v>
      </c>
      <c r="F599" t="s">
        <v>13</v>
      </c>
      <c r="G599" t="s">
        <v>14</v>
      </c>
      <c r="H599" t="s">
        <v>37</v>
      </c>
      <c r="I599" t="s">
        <v>27</v>
      </c>
      <c r="J599" t="s">
        <v>28</v>
      </c>
      <c r="K599">
        <v>4</v>
      </c>
      <c r="L599" s="4">
        <v>3959.69</v>
      </c>
      <c r="M599">
        <v>190.04</v>
      </c>
    </row>
    <row r="600" spans="1:13" x14ac:dyDescent="0.25">
      <c r="A600">
        <v>10599</v>
      </c>
      <c r="B600" t="str">
        <f t="shared" si="18"/>
        <v>Nov</v>
      </c>
      <c r="C600">
        <f t="shared" si="19"/>
        <v>11</v>
      </c>
      <c r="D600" t="s">
        <v>612</v>
      </c>
      <c r="E600" t="s">
        <v>636</v>
      </c>
      <c r="F600" t="s">
        <v>13</v>
      </c>
      <c r="G600" t="s">
        <v>32</v>
      </c>
      <c r="H600" t="s">
        <v>33</v>
      </c>
      <c r="I600" t="s">
        <v>22</v>
      </c>
      <c r="J600" t="s">
        <v>34</v>
      </c>
      <c r="K600">
        <v>6</v>
      </c>
      <c r="L600" s="4">
        <v>2380.23</v>
      </c>
      <c r="M600">
        <v>106.69</v>
      </c>
    </row>
    <row r="601" spans="1:13" x14ac:dyDescent="0.25">
      <c r="A601">
        <v>10600</v>
      </c>
      <c r="B601" t="str">
        <f t="shared" si="18"/>
        <v>Oct</v>
      </c>
      <c r="C601">
        <f t="shared" si="19"/>
        <v>10</v>
      </c>
      <c r="D601" t="s">
        <v>161</v>
      </c>
      <c r="E601" t="s">
        <v>730</v>
      </c>
      <c r="F601" t="s">
        <v>13</v>
      </c>
      <c r="G601" t="s">
        <v>14</v>
      </c>
      <c r="H601" t="s">
        <v>15</v>
      </c>
      <c r="I601" t="s">
        <v>22</v>
      </c>
      <c r="J601" t="s">
        <v>38</v>
      </c>
      <c r="K601">
        <v>4</v>
      </c>
      <c r="L601" s="4">
        <v>2744.21</v>
      </c>
      <c r="M601">
        <v>508.75</v>
      </c>
    </row>
    <row r="602" spans="1:13" x14ac:dyDescent="0.25">
      <c r="A602">
        <v>10601</v>
      </c>
      <c r="B602" t="str">
        <f t="shared" si="18"/>
        <v>Jul</v>
      </c>
      <c r="C602">
        <f t="shared" si="19"/>
        <v>7</v>
      </c>
      <c r="D602" t="s">
        <v>542</v>
      </c>
      <c r="E602" t="s">
        <v>785</v>
      </c>
      <c r="F602" t="s">
        <v>31</v>
      </c>
      <c r="G602" t="s">
        <v>46</v>
      </c>
      <c r="H602" t="s">
        <v>71</v>
      </c>
      <c r="I602" t="s">
        <v>27</v>
      </c>
      <c r="J602" t="s">
        <v>28</v>
      </c>
      <c r="K602">
        <v>5</v>
      </c>
      <c r="L602" s="4">
        <v>2567.4699999999998</v>
      </c>
      <c r="M602">
        <v>394.39</v>
      </c>
    </row>
    <row r="603" spans="1:13" x14ac:dyDescent="0.25">
      <c r="A603">
        <v>10602</v>
      </c>
      <c r="B603" t="str">
        <f t="shared" si="18"/>
        <v>Feb</v>
      </c>
      <c r="C603">
        <f t="shared" si="19"/>
        <v>2</v>
      </c>
      <c r="D603" t="s">
        <v>786</v>
      </c>
      <c r="E603" t="s">
        <v>787</v>
      </c>
      <c r="F603" t="s">
        <v>31</v>
      </c>
      <c r="G603" t="s">
        <v>20</v>
      </c>
      <c r="H603" t="s">
        <v>21</v>
      </c>
      <c r="I603" t="s">
        <v>27</v>
      </c>
      <c r="J603" t="s">
        <v>28</v>
      </c>
      <c r="K603">
        <v>8</v>
      </c>
      <c r="L603" s="4">
        <v>3142.66</v>
      </c>
      <c r="M603">
        <v>691.05</v>
      </c>
    </row>
    <row r="604" spans="1:13" x14ac:dyDescent="0.25">
      <c r="A604">
        <v>10603</v>
      </c>
      <c r="B604" t="str">
        <f t="shared" si="18"/>
        <v>Feb</v>
      </c>
      <c r="C604">
        <f t="shared" si="19"/>
        <v>2</v>
      </c>
      <c r="D604" t="s">
        <v>374</v>
      </c>
      <c r="E604" t="s">
        <v>788</v>
      </c>
      <c r="F604" t="s">
        <v>26</v>
      </c>
      <c r="G604" t="s">
        <v>14</v>
      </c>
      <c r="H604" t="s">
        <v>15</v>
      </c>
      <c r="I604" t="s">
        <v>27</v>
      </c>
      <c r="J604" t="s">
        <v>104</v>
      </c>
      <c r="K604">
        <v>5</v>
      </c>
      <c r="L604" s="4">
        <v>4795.46</v>
      </c>
      <c r="M604">
        <v>315.55</v>
      </c>
    </row>
    <row r="605" spans="1:13" x14ac:dyDescent="0.25">
      <c r="A605">
        <v>10604</v>
      </c>
      <c r="B605" t="str">
        <f t="shared" si="18"/>
        <v>Aug</v>
      </c>
      <c r="C605">
        <f t="shared" si="19"/>
        <v>8</v>
      </c>
      <c r="D605" t="s">
        <v>203</v>
      </c>
      <c r="E605" t="s">
        <v>789</v>
      </c>
      <c r="F605" t="s">
        <v>31</v>
      </c>
      <c r="G605" t="s">
        <v>20</v>
      </c>
      <c r="H605" t="s">
        <v>21</v>
      </c>
      <c r="I605" t="s">
        <v>22</v>
      </c>
      <c r="J605" t="s">
        <v>23</v>
      </c>
      <c r="K605">
        <v>5</v>
      </c>
      <c r="L605" s="4">
        <v>2141.0300000000002</v>
      </c>
      <c r="M605">
        <v>379.14</v>
      </c>
    </row>
    <row r="606" spans="1:13" x14ac:dyDescent="0.25">
      <c r="A606">
        <v>10605</v>
      </c>
      <c r="B606" t="str">
        <f t="shared" si="18"/>
        <v>Sep</v>
      </c>
      <c r="C606">
        <f t="shared" si="19"/>
        <v>9</v>
      </c>
      <c r="D606" t="s">
        <v>495</v>
      </c>
      <c r="E606" t="s">
        <v>501</v>
      </c>
      <c r="F606" t="s">
        <v>31</v>
      </c>
      <c r="G606" t="s">
        <v>20</v>
      </c>
      <c r="H606" t="s">
        <v>21</v>
      </c>
      <c r="I606" t="s">
        <v>27</v>
      </c>
      <c r="J606" t="s">
        <v>104</v>
      </c>
      <c r="K606">
        <v>2</v>
      </c>
      <c r="L606" s="4">
        <v>207.98</v>
      </c>
      <c r="M606">
        <v>-31.4</v>
      </c>
    </row>
    <row r="607" spans="1:13" x14ac:dyDescent="0.25">
      <c r="A607">
        <v>10606</v>
      </c>
      <c r="B607" t="str">
        <f t="shared" si="18"/>
        <v>Aug</v>
      </c>
      <c r="C607">
        <f t="shared" si="19"/>
        <v>8</v>
      </c>
      <c r="D607" t="s">
        <v>310</v>
      </c>
      <c r="E607" t="s">
        <v>790</v>
      </c>
      <c r="F607" t="s">
        <v>31</v>
      </c>
      <c r="G607" t="s">
        <v>20</v>
      </c>
      <c r="H607" t="s">
        <v>76</v>
      </c>
      <c r="I607" t="s">
        <v>16</v>
      </c>
      <c r="J607" t="s">
        <v>17</v>
      </c>
      <c r="K607">
        <v>8</v>
      </c>
      <c r="L607" s="4">
        <v>3007.45</v>
      </c>
      <c r="M607">
        <v>590.13</v>
      </c>
    </row>
    <row r="608" spans="1:13" x14ac:dyDescent="0.25">
      <c r="A608">
        <v>10607</v>
      </c>
      <c r="B608" t="str">
        <f t="shared" si="18"/>
        <v>Jan</v>
      </c>
      <c r="C608">
        <f t="shared" si="19"/>
        <v>1</v>
      </c>
      <c r="D608" t="s">
        <v>791</v>
      </c>
      <c r="E608" t="s">
        <v>792</v>
      </c>
      <c r="F608" t="s">
        <v>31</v>
      </c>
      <c r="G608" t="s">
        <v>46</v>
      </c>
      <c r="H608" t="s">
        <v>47</v>
      </c>
      <c r="I608" t="s">
        <v>22</v>
      </c>
      <c r="J608" t="s">
        <v>38</v>
      </c>
      <c r="K608">
        <v>4</v>
      </c>
      <c r="L608" s="4">
        <v>2472.79</v>
      </c>
      <c r="M608">
        <v>646.76</v>
      </c>
    </row>
    <row r="609" spans="1:13" x14ac:dyDescent="0.25">
      <c r="A609">
        <v>10608</v>
      </c>
      <c r="B609" t="str">
        <f t="shared" si="18"/>
        <v>Dec</v>
      </c>
      <c r="C609">
        <f t="shared" si="19"/>
        <v>12</v>
      </c>
      <c r="D609" t="s">
        <v>716</v>
      </c>
      <c r="E609" t="s">
        <v>793</v>
      </c>
      <c r="F609" t="s">
        <v>26</v>
      </c>
      <c r="G609" t="s">
        <v>32</v>
      </c>
      <c r="H609" t="s">
        <v>54</v>
      </c>
      <c r="I609" t="s">
        <v>22</v>
      </c>
      <c r="J609" t="s">
        <v>48</v>
      </c>
      <c r="K609">
        <v>5</v>
      </c>
      <c r="L609" s="4">
        <v>993.17</v>
      </c>
      <c r="M609">
        <v>22.39</v>
      </c>
    </row>
    <row r="610" spans="1:13" x14ac:dyDescent="0.25">
      <c r="A610">
        <v>10609</v>
      </c>
      <c r="B610" t="str">
        <f t="shared" si="18"/>
        <v>Apr</v>
      </c>
      <c r="C610">
        <f t="shared" si="19"/>
        <v>4</v>
      </c>
      <c r="D610" t="s">
        <v>440</v>
      </c>
      <c r="E610" t="s">
        <v>794</v>
      </c>
      <c r="F610" t="s">
        <v>13</v>
      </c>
      <c r="G610" t="s">
        <v>46</v>
      </c>
      <c r="H610" t="s">
        <v>71</v>
      </c>
      <c r="I610" t="s">
        <v>22</v>
      </c>
      <c r="J610" t="s">
        <v>23</v>
      </c>
      <c r="K610">
        <v>6</v>
      </c>
      <c r="L610" s="4">
        <v>2915.17</v>
      </c>
      <c r="M610">
        <v>430.11</v>
      </c>
    </row>
    <row r="611" spans="1:13" x14ac:dyDescent="0.25">
      <c r="A611">
        <v>10610</v>
      </c>
      <c r="B611" t="str">
        <f t="shared" si="18"/>
        <v>Mar</v>
      </c>
      <c r="C611">
        <f t="shared" si="19"/>
        <v>3</v>
      </c>
      <c r="D611" t="s">
        <v>795</v>
      </c>
      <c r="E611" t="s">
        <v>796</v>
      </c>
      <c r="F611" t="s">
        <v>31</v>
      </c>
      <c r="G611" t="s">
        <v>14</v>
      </c>
      <c r="H611" t="s">
        <v>37</v>
      </c>
      <c r="I611" t="s">
        <v>27</v>
      </c>
      <c r="J611" t="s">
        <v>104</v>
      </c>
      <c r="K611">
        <v>6</v>
      </c>
      <c r="L611" s="4">
        <v>2297.3000000000002</v>
      </c>
      <c r="M611">
        <v>621.74</v>
      </c>
    </row>
    <row r="612" spans="1:13" x14ac:dyDescent="0.25">
      <c r="A612">
        <v>10611</v>
      </c>
      <c r="B612" t="str">
        <f t="shared" si="18"/>
        <v>Jun</v>
      </c>
      <c r="C612">
        <f t="shared" si="19"/>
        <v>6</v>
      </c>
      <c r="D612" t="s">
        <v>305</v>
      </c>
      <c r="E612" t="s">
        <v>608</v>
      </c>
      <c r="F612" t="s">
        <v>13</v>
      </c>
      <c r="G612" t="s">
        <v>20</v>
      </c>
      <c r="H612" t="s">
        <v>21</v>
      </c>
      <c r="I612" t="s">
        <v>27</v>
      </c>
      <c r="J612" t="s">
        <v>28</v>
      </c>
      <c r="K612">
        <v>3</v>
      </c>
      <c r="L612" s="4">
        <v>121.04</v>
      </c>
      <c r="M612">
        <v>-69.16</v>
      </c>
    </row>
    <row r="613" spans="1:13" x14ac:dyDescent="0.25">
      <c r="A613">
        <v>10612</v>
      </c>
      <c r="B613" t="str">
        <f t="shared" si="18"/>
        <v>Jan</v>
      </c>
      <c r="C613">
        <f t="shared" si="19"/>
        <v>1</v>
      </c>
      <c r="D613" t="s">
        <v>102</v>
      </c>
      <c r="E613" t="s">
        <v>797</v>
      </c>
      <c r="F613" t="s">
        <v>13</v>
      </c>
      <c r="G613" t="s">
        <v>32</v>
      </c>
      <c r="H613" t="s">
        <v>54</v>
      </c>
      <c r="I613" t="s">
        <v>27</v>
      </c>
      <c r="J613" t="s">
        <v>104</v>
      </c>
      <c r="K613">
        <v>8</v>
      </c>
      <c r="L613" s="4">
        <v>1759.55</v>
      </c>
      <c r="M613">
        <v>89.49</v>
      </c>
    </row>
    <row r="614" spans="1:13" x14ac:dyDescent="0.25">
      <c r="A614">
        <v>10613</v>
      </c>
      <c r="B614" t="str">
        <f t="shared" si="18"/>
        <v>Nov</v>
      </c>
      <c r="C614">
        <f t="shared" si="19"/>
        <v>11</v>
      </c>
      <c r="D614" t="s">
        <v>330</v>
      </c>
      <c r="E614" t="s">
        <v>798</v>
      </c>
      <c r="F614" t="s">
        <v>13</v>
      </c>
      <c r="G614" t="s">
        <v>14</v>
      </c>
      <c r="H614" t="s">
        <v>37</v>
      </c>
      <c r="I614" t="s">
        <v>22</v>
      </c>
      <c r="J614" t="s">
        <v>34</v>
      </c>
      <c r="K614">
        <v>4</v>
      </c>
      <c r="L614" s="4">
        <v>2285.27</v>
      </c>
      <c r="M614">
        <v>161.6</v>
      </c>
    </row>
    <row r="615" spans="1:13" x14ac:dyDescent="0.25">
      <c r="A615">
        <v>10614</v>
      </c>
      <c r="B615" t="str">
        <f t="shared" si="18"/>
        <v>Feb</v>
      </c>
      <c r="C615">
        <f t="shared" si="19"/>
        <v>2</v>
      </c>
      <c r="D615" t="s">
        <v>538</v>
      </c>
      <c r="E615" t="s">
        <v>799</v>
      </c>
      <c r="F615" t="s">
        <v>31</v>
      </c>
      <c r="G615" t="s">
        <v>46</v>
      </c>
      <c r="H615" t="s">
        <v>47</v>
      </c>
      <c r="I615" t="s">
        <v>22</v>
      </c>
      <c r="J615" t="s">
        <v>23</v>
      </c>
      <c r="K615">
        <v>2</v>
      </c>
      <c r="L615" s="4">
        <v>2738.22</v>
      </c>
      <c r="M615">
        <v>374.7</v>
      </c>
    </row>
    <row r="616" spans="1:13" x14ac:dyDescent="0.25">
      <c r="A616">
        <v>10615</v>
      </c>
      <c r="B616" t="str">
        <f t="shared" si="18"/>
        <v>Jul</v>
      </c>
      <c r="C616">
        <f t="shared" si="19"/>
        <v>7</v>
      </c>
      <c r="D616" t="s">
        <v>784</v>
      </c>
      <c r="E616" t="s">
        <v>800</v>
      </c>
      <c r="F616" t="s">
        <v>26</v>
      </c>
      <c r="G616" t="s">
        <v>46</v>
      </c>
      <c r="H616" t="s">
        <v>47</v>
      </c>
      <c r="I616" t="s">
        <v>27</v>
      </c>
      <c r="J616" t="s">
        <v>118</v>
      </c>
      <c r="K616">
        <v>6</v>
      </c>
      <c r="L616" s="4">
        <v>2048.0300000000002</v>
      </c>
      <c r="M616">
        <v>426.22</v>
      </c>
    </row>
    <row r="617" spans="1:13" x14ac:dyDescent="0.25">
      <c r="A617">
        <v>10616</v>
      </c>
      <c r="B617" t="str">
        <f t="shared" si="18"/>
        <v>Aug</v>
      </c>
      <c r="C617">
        <f t="shared" si="19"/>
        <v>8</v>
      </c>
      <c r="D617" t="s">
        <v>310</v>
      </c>
      <c r="E617" t="s">
        <v>394</v>
      </c>
      <c r="F617" t="s">
        <v>31</v>
      </c>
      <c r="G617" t="s">
        <v>32</v>
      </c>
      <c r="H617" t="s">
        <v>54</v>
      </c>
      <c r="I617" t="s">
        <v>27</v>
      </c>
      <c r="J617" t="s">
        <v>28</v>
      </c>
      <c r="K617">
        <v>8</v>
      </c>
      <c r="L617" s="4">
        <v>4384.08</v>
      </c>
      <c r="M617">
        <v>242.43</v>
      </c>
    </row>
    <row r="618" spans="1:13" x14ac:dyDescent="0.25">
      <c r="A618">
        <v>10617</v>
      </c>
      <c r="B618" t="str">
        <f t="shared" si="18"/>
        <v>Apr</v>
      </c>
      <c r="C618">
        <f t="shared" si="19"/>
        <v>4</v>
      </c>
      <c r="D618" t="s">
        <v>409</v>
      </c>
      <c r="E618" t="s">
        <v>801</v>
      </c>
      <c r="F618" t="s">
        <v>31</v>
      </c>
      <c r="G618" t="s">
        <v>20</v>
      </c>
      <c r="H618" t="s">
        <v>76</v>
      </c>
      <c r="I618" t="s">
        <v>22</v>
      </c>
      <c r="J618" t="s">
        <v>34</v>
      </c>
      <c r="K618">
        <v>7</v>
      </c>
      <c r="L618" s="4">
        <v>783.88</v>
      </c>
      <c r="M618">
        <v>145.66</v>
      </c>
    </row>
    <row r="619" spans="1:13" x14ac:dyDescent="0.25">
      <c r="A619">
        <v>10618</v>
      </c>
      <c r="B619" t="str">
        <f t="shared" si="18"/>
        <v>Mar</v>
      </c>
      <c r="C619">
        <f t="shared" si="19"/>
        <v>3</v>
      </c>
      <c r="D619" t="s">
        <v>119</v>
      </c>
      <c r="E619" t="s">
        <v>802</v>
      </c>
      <c r="F619" t="s">
        <v>31</v>
      </c>
      <c r="G619" t="s">
        <v>32</v>
      </c>
      <c r="H619" t="s">
        <v>33</v>
      </c>
      <c r="I619" t="s">
        <v>16</v>
      </c>
      <c r="J619" t="s">
        <v>51</v>
      </c>
      <c r="K619">
        <v>2</v>
      </c>
      <c r="L619" s="4">
        <v>132.43</v>
      </c>
      <c r="M619">
        <v>0.44</v>
      </c>
    </row>
    <row r="620" spans="1:13" x14ac:dyDescent="0.25">
      <c r="A620">
        <v>10619</v>
      </c>
      <c r="B620" t="str">
        <f t="shared" si="18"/>
        <v>Oct</v>
      </c>
      <c r="C620">
        <f t="shared" si="19"/>
        <v>10</v>
      </c>
      <c r="D620" t="s">
        <v>562</v>
      </c>
      <c r="E620" t="s">
        <v>803</v>
      </c>
      <c r="F620" t="s">
        <v>31</v>
      </c>
      <c r="G620" t="s">
        <v>46</v>
      </c>
      <c r="H620" t="s">
        <v>71</v>
      </c>
      <c r="I620" t="s">
        <v>22</v>
      </c>
      <c r="J620" t="s">
        <v>34</v>
      </c>
      <c r="K620">
        <v>5</v>
      </c>
      <c r="L620" s="4">
        <v>2813.95</v>
      </c>
      <c r="M620">
        <v>87.78</v>
      </c>
    </row>
    <row r="621" spans="1:13" x14ac:dyDescent="0.25">
      <c r="A621">
        <v>10620</v>
      </c>
      <c r="B621" t="str">
        <f t="shared" si="18"/>
        <v>Aug</v>
      </c>
      <c r="C621">
        <f t="shared" si="19"/>
        <v>8</v>
      </c>
      <c r="D621" t="s">
        <v>505</v>
      </c>
      <c r="E621" t="s">
        <v>804</v>
      </c>
      <c r="F621" t="s">
        <v>13</v>
      </c>
      <c r="G621" t="s">
        <v>20</v>
      </c>
      <c r="H621" t="s">
        <v>21</v>
      </c>
      <c r="I621" t="s">
        <v>22</v>
      </c>
      <c r="J621" t="s">
        <v>23</v>
      </c>
      <c r="K621">
        <v>3</v>
      </c>
      <c r="L621" s="4">
        <v>1387.12</v>
      </c>
      <c r="M621">
        <v>317.45999999999998</v>
      </c>
    </row>
    <row r="622" spans="1:13" x14ac:dyDescent="0.25">
      <c r="A622">
        <v>10621</v>
      </c>
      <c r="B622" t="str">
        <f t="shared" si="18"/>
        <v>Feb</v>
      </c>
      <c r="C622">
        <f t="shared" si="19"/>
        <v>2</v>
      </c>
      <c r="D622" t="s">
        <v>246</v>
      </c>
      <c r="E622" t="s">
        <v>628</v>
      </c>
      <c r="F622" t="s">
        <v>13</v>
      </c>
      <c r="G622" t="s">
        <v>32</v>
      </c>
      <c r="H622" t="s">
        <v>54</v>
      </c>
      <c r="I622" t="s">
        <v>22</v>
      </c>
      <c r="J622" t="s">
        <v>34</v>
      </c>
      <c r="K622">
        <v>4</v>
      </c>
      <c r="L622" s="4">
        <v>239.37</v>
      </c>
      <c r="M622">
        <v>8.43</v>
      </c>
    </row>
    <row r="623" spans="1:13" x14ac:dyDescent="0.25">
      <c r="A623">
        <v>10622</v>
      </c>
      <c r="B623" t="str">
        <f t="shared" si="18"/>
        <v>Mar</v>
      </c>
      <c r="C623">
        <f t="shared" si="19"/>
        <v>3</v>
      </c>
      <c r="D623" t="s">
        <v>163</v>
      </c>
      <c r="E623" t="s">
        <v>373</v>
      </c>
      <c r="F623" t="s">
        <v>13</v>
      </c>
      <c r="G623" t="s">
        <v>32</v>
      </c>
      <c r="H623" t="s">
        <v>54</v>
      </c>
      <c r="I623" t="s">
        <v>16</v>
      </c>
      <c r="J623" t="s">
        <v>51</v>
      </c>
      <c r="K623">
        <v>5</v>
      </c>
      <c r="L623" s="4">
        <v>3177.18</v>
      </c>
      <c r="M623">
        <v>467.55</v>
      </c>
    </row>
    <row r="624" spans="1:13" x14ac:dyDescent="0.25">
      <c r="A624">
        <v>10623</v>
      </c>
      <c r="B624" t="str">
        <f t="shared" si="18"/>
        <v>Mar</v>
      </c>
      <c r="C624">
        <f t="shared" si="19"/>
        <v>3</v>
      </c>
      <c r="D624" t="s">
        <v>668</v>
      </c>
      <c r="E624" t="s">
        <v>805</v>
      </c>
      <c r="F624" t="s">
        <v>31</v>
      </c>
      <c r="G624" t="s">
        <v>14</v>
      </c>
      <c r="H624" t="s">
        <v>37</v>
      </c>
      <c r="I624" t="s">
        <v>22</v>
      </c>
      <c r="J624" t="s">
        <v>23</v>
      </c>
      <c r="K624">
        <v>3</v>
      </c>
      <c r="L624" s="4">
        <v>1666.44</v>
      </c>
      <c r="M624">
        <v>435.69</v>
      </c>
    </row>
    <row r="625" spans="1:13" x14ac:dyDescent="0.25">
      <c r="A625">
        <v>10624</v>
      </c>
      <c r="B625" t="str">
        <f t="shared" si="18"/>
        <v>Sep</v>
      </c>
      <c r="C625">
        <f t="shared" si="19"/>
        <v>9</v>
      </c>
      <c r="D625" t="s">
        <v>69</v>
      </c>
      <c r="E625" t="s">
        <v>806</v>
      </c>
      <c r="F625" t="s">
        <v>13</v>
      </c>
      <c r="G625" t="s">
        <v>32</v>
      </c>
      <c r="H625" t="s">
        <v>54</v>
      </c>
      <c r="I625" t="s">
        <v>16</v>
      </c>
      <c r="J625" t="s">
        <v>17</v>
      </c>
      <c r="K625">
        <v>1</v>
      </c>
      <c r="L625" s="4">
        <v>1520.3</v>
      </c>
      <c r="M625">
        <v>183.68</v>
      </c>
    </row>
    <row r="626" spans="1:13" x14ac:dyDescent="0.25">
      <c r="A626">
        <v>10625</v>
      </c>
      <c r="B626" t="str">
        <f t="shared" si="18"/>
        <v>Jun</v>
      </c>
      <c r="C626">
        <f t="shared" si="19"/>
        <v>6</v>
      </c>
      <c r="D626" t="s">
        <v>216</v>
      </c>
      <c r="E626" t="s">
        <v>695</v>
      </c>
      <c r="F626" t="s">
        <v>13</v>
      </c>
      <c r="G626" t="s">
        <v>46</v>
      </c>
      <c r="H626" t="s">
        <v>71</v>
      </c>
      <c r="I626" t="s">
        <v>16</v>
      </c>
      <c r="J626" t="s">
        <v>43</v>
      </c>
      <c r="K626">
        <v>6</v>
      </c>
      <c r="L626" s="4">
        <v>4374.97</v>
      </c>
      <c r="M626">
        <v>1054.58</v>
      </c>
    </row>
    <row r="627" spans="1:13" x14ac:dyDescent="0.25">
      <c r="A627">
        <v>10626</v>
      </c>
      <c r="B627" t="str">
        <f t="shared" si="18"/>
        <v>Sep</v>
      </c>
      <c r="C627">
        <f t="shared" si="19"/>
        <v>9</v>
      </c>
      <c r="D627" t="s">
        <v>281</v>
      </c>
      <c r="E627" t="s">
        <v>470</v>
      </c>
      <c r="F627" t="s">
        <v>31</v>
      </c>
      <c r="G627" t="s">
        <v>32</v>
      </c>
      <c r="H627" t="s">
        <v>33</v>
      </c>
      <c r="I627" t="s">
        <v>16</v>
      </c>
      <c r="J627" t="s">
        <v>17</v>
      </c>
      <c r="K627">
        <v>3</v>
      </c>
      <c r="L627" s="4">
        <v>163.19999999999999</v>
      </c>
      <c r="M627">
        <v>-8</v>
      </c>
    </row>
    <row r="628" spans="1:13" x14ac:dyDescent="0.25">
      <c r="A628">
        <v>10627</v>
      </c>
      <c r="B628" t="str">
        <f t="shared" si="18"/>
        <v>Dec</v>
      </c>
      <c r="C628">
        <f t="shared" si="19"/>
        <v>12</v>
      </c>
      <c r="D628" t="s">
        <v>232</v>
      </c>
      <c r="E628" t="s">
        <v>293</v>
      </c>
      <c r="F628" t="s">
        <v>13</v>
      </c>
      <c r="G628" t="s">
        <v>46</v>
      </c>
      <c r="H628" t="s">
        <v>71</v>
      </c>
      <c r="I628" t="s">
        <v>22</v>
      </c>
      <c r="J628" t="s">
        <v>48</v>
      </c>
      <c r="K628">
        <v>4</v>
      </c>
      <c r="L628" s="4">
        <v>4174.71</v>
      </c>
      <c r="M628">
        <v>982.7</v>
      </c>
    </row>
    <row r="629" spans="1:13" x14ac:dyDescent="0.25">
      <c r="A629">
        <v>10628</v>
      </c>
      <c r="B629" t="str">
        <f t="shared" si="18"/>
        <v>Jun</v>
      </c>
      <c r="C629">
        <f t="shared" si="19"/>
        <v>6</v>
      </c>
      <c r="D629" t="s">
        <v>65</v>
      </c>
      <c r="E629" t="s">
        <v>160</v>
      </c>
      <c r="F629" t="s">
        <v>31</v>
      </c>
      <c r="G629" t="s">
        <v>14</v>
      </c>
      <c r="H629" t="s">
        <v>37</v>
      </c>
      <c r="I629" t="s">
        <v>27</v>
      </c>
      <c r="J629" t="s">
        <v>118</v>
      </c>
      <c r="K629">
        <v>2</v>
      </c>
      <c r="L629" s="4">
        <v>4112.34</v>
      </c>
      <c r="M629">
        <v>1107.01</v>
      </c>
    </row>
    <row r="630" spans="1:13" x14ac:dyDescent="0.25">
      <c r="A630">
        <v>10629</v>
      </c>
      <c r="B630" t="str">
        <f t="shared" si="18"/>
        <v>Apr</v>
      </c>
      <c r="C630">
        <f t="shared" si="19"/>
        <v>4</v>
      </c>
      <c r="D630" t="s">
        <v>290</v>
      </c>
      <c r="E630" t="s">
        <v>807</v>
      </c>
      <c r="F630" t="s">
        <v>13</v>
      </c>
      <c r="G630" t="s">
        <v>46</v>
      </c>
      <c r="H630" t="s">
        <v>47</v>
      </c>
      <c r="I630" t="s">
        <v>16</v>
      </c>
      <c r="J630" t="s">
        <v>17</v>
      </c>
      <c r="K630">
        <v>3</v>
      </c>
      <c r="L630" s="4">
        <v>3578.48</v>
      </c>
      <c r="M630">
        <v>123.2</v>
      </c>
    </row>
    <row r="631" spans="1:13" x14ac:dyDescent="0.25">
      <c r="A631">
        <v>10630</v>
      </c>
      <c r="B631" t="str">
        <f t="shared" si="18"/>
        <v>Feb</v>
      </c>
      <c r="C631">
        <f t="shared" si="19"/>
        <v>2</v>
      </c>
      <c r="D631" t="s">
        <v>374</v>
      </c>
      <c r="E631" t="s">
        <v>751</v>
      </c>
      <c r="F631" t="s">
        <v>26</v>
      </c>
      <c r="G631" t="s">
        <v>46</v>
      </c>
      <c r="H631" t="s">
        <v>71</v>
      </c>
      <c r="I631" t="s">
        <v>27</v>
      </c>
      <c r="J631" t="s">
        <v>104</v>
      </c>
      <c r="K631">
        <v>4</v>
      </c>
      <c r="L631" s="4">
        <v>738.07</v>
      </c>
      <c r="M631">
        <v>-17.670000000000002</v>
      </c>
    </row>
    <row r="632" spans="1:13" x14ac:dyDescent="0.25">
      <c r="A632">
        <v>10631</v>
      </c>
      <c r="B632" t="str">
        <f t="shared" si="18"/>
        <v>Aug</v>
      </c>
      <c r="C632">
        <f t="shared" si="19"/>
        <v>8</v>
      </c>
      <c r="D632" t="s">
        <v>808</v>
      </c>
      <c r="E632" t="s">
        <v>610</v>
      </c>
      <c r="F632" t="s">
        <v>31</v>
      </c>
      <c r="G632" t="s">
        <v>20</v>
      </c>
      <c r="H632" t="s">
        <v>76</v>
      </c>
      <c r="I632" t="s">
        <v>22</v>
      </c>
      <c r="J632" t="s">
        <v>48</v>
      </c>
      <c r="K632">
        <v>2</v>
      </c>
      <c r="L632" s="4">
        <v>260.68</v>
      </c>
      <c r="M632">
        <v>-3.29</v>
      </c>
    </row>
    <row r="633" spans="1:13" x14ac:dyDescent="0.25">
      <c r="A633">
        <v>10632</v>
      </c>
      <c r="B633" t="str">
        <f t="shared" si="18"/>
        <v>Apr</v>
      </c>
      <c r="C633">
        <f t="shared" si="19"/>
        <v>4</v>
      </c>
      <c r="D633" t="s">
        <v>809</v>
      </c>
      <c r="E633" t="s">
        <v>530</v>
      </c>
      <c r="F633" t="s">
        <v>13</v>
      </c>
      <c r="G633" t="s">
        <v>14</v>
      </c>
      <c r="H633" t="s">
        <v>15</v>
      </c>
      <c r="I633" t="s">
        <v>27</v>
      </c>
      <c r="J633" t="s">
        <v>118</v>
      </c>
      <c r="K633">
        <v>2</v>
      </c>
      <c r="L633" s="4">
        <v>3933.62</v>
      </c>
      <c r="M633">
        <v>1080.97</v>
      </c>
    </row>
    <row r="634" spans="1:13" x14ac:dyDescent="0.25">
      <c r="A634">
        <v>10633</v>
      </c>
      <c r="B634" t="str">
        <f t="shared" si="18"/>
        <v>Sep</v>
      </c>
      <c r="C634">
        <f t="shared" si="19"/>
        <v>9</v>
      </c>
      <c r="D634" t="s">
        <v>223</v>
      </c>
      <c r="E634" t="s">
        <v>661</v>
      </c>
      <c r="F634" t="s">
        <v>13</v>
      </c>
      <c r="G634" t="s">
        <v>32</v>
      </c>
      <c r="H634" t="s">
        <v>33</v>
      </c>
      <c r="I634" t="s">
        <v>22</v>
      </c>
      <c r="J634" t="s">
        <v>48</v>
      </c>
      <c r="K634">
        <v>5</v>
      </c>
      <c r="L634" s="4">
        <v>4749.08</v>
      </c>
      <c r="M634">
        <v>634.37</v>
      </c>
    </row>
    <row r="635" spans="1:13" x14ac:dyDescent="0.25">
      <c r="A635">
        <v>10634</v>
      </c>
      <c r="B635" t="str">
        <f t="shared" si="18"/>
        <v>Oct</v>
      </c>
      <c r="C635">
        <f t="shared" si="19"/>
        <v>10</v>
      </c>
      <c r="D635" t="s">
        <v>114</v>
      </c>
      <c r="E635" t="s">
        <v>568</v>
      </c>
      <c r="F635" t="s">
        <v>13</v>
      </c>
      <c r="G635" t="s">
        <v>46</v>
      </c>
      <c r="H635" t="s">
        <v>71</v>
      </c>
      <c r="I635" t="s">
        <v>22</v>
      </c>
      <c r="J635" t="s">
        <v>23</v>
      </c>
      <c r="K635">
        <v>4</v>
      </c>
      <c r="L635" s="4">
        <v>3607.48</v>
      </c>
      <c r="M635">
        <v>1032.8399999999999</v>
      </c>
    </row>
    <row r="636" spans="1:13" x14ac:dyDescent="0.25">
      <c r="A636">
        <v>10635</v>
      </c>
      <c r="B636" t="str">
        <f t="shared" si="18"/>
        <v>Feb</v>
      </c>
      <c r="C636">
        <f t="shared" si="19"/>
        <v>2</v>
      </c>
      <c r="D636" t="s">
        <v>433</v>
      </c>
      <c r="E636" t="s">
        <v>254</v>
      </c>
      <c r="F636" t="s">
        <v>31</v>
      </c>
      <c r="G636" t="s">
        <v>14</v>
      </c>
      <c r="H636" t="s">
        <v>15</v>
      </c>
      <c r="I636" t="s">
        <v>16</v>
      </c>
      <c r="J636" t="s">
        <v>51</v>
      </c>
      <c r="K636">
        <v>6</v>
      </c>
      <c r="L636" s="4">
        <v>3520.85</v>
      </c>
      <c r="M636">
        <v>271.64</v>
      </c>
    </row>
    <row r="637" spans="1:13" x14ac:dyDescent="0.25">
      <c r="A637">
        <v>10636</v>
      </c>
      <c r="B637" t="str">
        <f t="shared" si="18"/>
        <v>Feb</v>
      </c>
      <c r="C637">
        <f t="shared" si="19"/>
        <v>2</v>
      </c>
      <c r="D637" t="s">
        <v>671</v>
      </c>
      <c r="E637" t="s">
        <v>810</v>
      </c>
      <c r="F637" t="s">
        <v>26</v>
      </c>
      <c r="G637" t="s">
        <v>20</v>
      </c>
      <c r="H637" t="s">
        <v>76</v>
      </c>
      <c r="I637" t="s">
        <v>22</v>
      </c>
      <c r="J637" t="s">
        <v>48</v>
      </c>
      <c r="K637">
        <v>7</v>
      </c>
      <c r="L637" s="4">
        <v>652.94000000000005</v>
      </c>
      <c r="M637">
        <v>181.01</v>
      </c>
    </row>
    <row r="638" spans="1:13" x14ac:dyDescent="0.25">
      <c r="A638">
        <v>10637</v>
      </c>
      <c r="B638" t="str">
        <f t="shared" si="18"/>
        <v>Aug</v>
      </c>
      <c r="C638">
        <f t="shared" si="19"/>
        <v>8</v>
      </c>
      <c r="D638" t="s">
        <v>197</v>
      </c>
      <c r="E638" t="s">
        <v>811</v>
      </c>
      <c r="F638" t="s">
        <v>13</v>
      </c>
      <c r="G638" t="s">
        <v>20</v>
      </c>
      <c r="H638" t="s">
        <v>76</v>
      </c>
      <c r="I638" t="s">
        <v>16</v>
      </c>
      <c r="J638" t="s">
        <v>17</v>
      </c>
      <c r="K638">
        <v>1</v>
      </c>
      <c r="L638" s="4">
        <v>503.01</v>
      </c>
      <c r="M638">
        <v>48.76</v>
      </c>
    </row>
    <row r="639" spans="1:13" x14ac:dyDescent="0.25">
      <c r="A639">
        <v>10638</v>
      </c>
      <c r="B639" t="str">
        <f t="shared" si="18"/>
        <v>Sep</v>
      </c>
      <c r="C639">
        <f t="shared" si="19"/>
        <v>9</v>
      </c>
      <c r="D639" t="s">
        <v>124</v>
      </c>
      <c r="E639" t="s">
        <v>812</v>
      </c>
      <c r="F639" t="s">
        <v>31</v>
      </c>
      <c r="G639" t="s">
        <v>32</v>
      </c>
      <c r="H639" t="s">
        <v>54</v>
      </c>
      <c r="I639" t="s">
        <v>22</v>
      </c>
      <c r="J639" t="s">
        <v>34</v>
      </c>
      <c r="K639">
        <v>5</v>
      </c>
      <c r="L639" s="4">
        <v>4926.32</v>
      </c>
      <c r="M639">
        <v>687.71</v>
      </c>
    </row>
    <row r="640" spans="1:13" x14ac:dyDescent="0.25">
      <c r="A640">
        <v>10639</v>
      </c>
      <c r="B640" t="str">
        <f t="shared" si="18"/>
        <v>Mar</v>
      </c>
      <c r="C640">
        <f t="shared" si="19"/>
        <v>3</v>
      </c>
      <c r="D640" t="s">
        <v>163</v>
      </c>
      <c r="E640" t="s">
        <v>564</v>
      </c>
      <c r="F640" t="s">
        <v>31</v>
      </c>
      <c r="G640" t="s">
        <v>46</v>
      </c>
      <c r="H640" t="s">
        <v>71</v>
      </c>
      <c r="I640" t="s">
        <v>16</v>
      </c>
      <c r="J640" t="s">
        <v>51</v>
      </c>
      <c r="K640">
        <v>2</v>
      </c>
      <c r="L640" s="4">
        <v>2042.21</v>
      </c>
      <c r="M640">
        <v>301.31</v>
      </c>
    </row>
    <row r="641" spans="1:13" x14ac:dyDescent="0.25">
      <c r="A641">
        <v>10640</v>
      </c>
      <c r="B641" t="str">
        <f t="shared" si="18"/>
        <v>Jul</v>
      </c>
      <c r="C641">
        <f t="shared" si="19"/>
        <v>7</v>
      </c>
      <c r="D641" t="s">
        <v>189</v>
      </c>
      <c r="E641" t="s">
        <v>502</v>
      </c>
      <c r="F641" t="s">
        <v>26</v>
      </c>
      <c r="G641" t="s">
        <v>20</v>
      </c>
      <c r="H641" t="s">
        <v>21</v>
      </c>
      <c r="I641" t="s">
        <v>16</v>
      </c>
      <c r="J641" t="s">
        <v>43</v>
      </c>
      <c r="K641">
        <v>2</v>
      </c>
      <c r="L641" s="4">
        <v>1882.18</v>
      </c>
      <c r="M641">
        <v>167.76</v>
      </c>
    </row>
    <row r="642" spans="1:13" x14ac:dyDescent="0.25">
      <c r="A642">
        <v>10641</v>
      </c>
      <c r="B642" t="str">
        <f t="shared" ref="B642:B705" si="20">TEXT(D642,"mmm")</f>
        <v>Sep</v>
      </c>
      <c r="C642">
        <f t="shared" ref="C642:C705" si="21">MONTH(D642)</f>
        <v>9</v>
      </c>
      <c r="D642" t="s">
        <v>281</v>
      </c>
      <c r="E642" t="s">
        <v>575</v>
      </c>
      <c r="F642" t="s">
        <v>31</v>
      </c>
      <c r="G642" t="s">
        <v>20</v>
      </c>
      <c r="H642" t="s">
        <v>76</v>
      </c>
      <c r="I642" t="s">
        <v>27</v>
      </c>
      <c r="J642" t="s">
        <v>28</v>
      </c>
      <c r="K642">
        <v>7</v>
      </c>
      <c r="L642" s="4">
        <v>1844.88</v>
      </c>
      <c r="M642">
        <v>304.70999999999998</v>
      </c>
    </row>
    <row r="643" spans="1:13" x14ac:dyDescent="0.25">
      <c r="A643">
        <v>10642</v>
      </c>
      <c r="B643" t="str">
        <f t="shared" si="20"/>
        <v>Jan</v>
      </c>
      <c r="C643">
        <f t="shared" si="21"/>
        <v>1</v>
      </c>
      <c r="D643" t="s">
        <v>698</v>
      </c>
      <c r="E643" t="s">
        <v>813</v>
      </c>
      <c r="F643" t="s">
        <v>13</v>
      </c>
      <c r="G643" t="s">
        <v>46</v>
      </c>
      <c r="H643" t="s">
        <v>47</v>
      </c>
      <c r="I643" t="s">
        <v>22</v>
      </c>
      <c r="J643" t="s">
        <v>23</v>
      </c>
      <c r="K643">
        <v>5</v>
      </c>
      <c r="L643" s="4">
        <v>2497.77</v>
      </c>
      <c r="M643">
        <v>174.78</v>
      </c>
    </row>
    <row r="644" spans="1:13" x14ac:dyDescent="0.25">
      <c r="A644">
        <v>10643</v>
      </c>
      <c r="B644" t="str">
        <f t="shared" si="20"/>
        <v>Nov</v>
      </c>
      <c r="C644">
        <f t="shared" si="21"/>
        <v>11</v>
      </c>
      <c r="D644" t="s">
        <v>694</v>
      </c>
      <c r="E644" t="s">
        <v>814</v>
      </c>
      <c r="F644" t="s">
        <v>26</v>
      </c>
      <c r="G644" t="s">
        <v>14</v>
      </c>
      <c r="H644" t="s">
        <v>15</v>
      </c>
      <c r="I644" t="s">
        <v>27</v>
      </c>
      <c r="J644" t="s">
        <v>118</v>
      </c>
      <c r="K644">
        <v>3</v>
      </c>
      <c r="L644" s="4">
        <v>1974.9</v>
      </c>
      <c r="M644">
        <v>418.81</v>
      </c>
    </row>
    <row r="645" spans="1:13" x14ac:dyDescent="0.25">
      <c r="A645">
        <v>10644</v>
      </c>
      <c r="B645" t="str">
        <f t="shared" si="20"/>
        <v>Jun</v>
      </c>
      <c r="C645">
        <f t="shared" si="21"/>
        <v>6</v>
      </c>
      <c r="D645" t="s">
        <v>274</v>
      </c>
      <c r="E645" t="s">
        <v>384</v>
      </c>
      <c r="F645" t="s">
        <v>13</v>
      </c>
      <c r="G645" t="s">
        <v>14</v>
      </c>
      <c r="H645" t="s">
        <v>37</v>
      </c>
      <c r="I645" t="s">
        <v>27</v>
      </c>
      <c r="J645" t="s">
        <v>104</v>
      </c>
      <c r="K645">
        <v>5</v>
      </c>
      <c r="L645" s="4">
        <v>3344.26</v>
      </c>
      <c r="M645">
        <v>550.92999999999995</v>
      </c>
    </row>
    <row r="646" spans="1:13" x14ac:dyDescent="0.25">
      <c r="A646">
        <v>10645</v>
      </c>
      <c r="B646" t="str">
        <f t="shared" si="20"/>
        <v>Jan</v>
      </c>
      <c r="C646">
        <f t="shared" si="21"/>
        <v>1</v>
      </c>
      <c r="D646" t="s">
        <v>362</v>
      </c>
      <c r="E646" t="s">
        <v>815</v>
      </c>
      <c r="F646" t="s">
        <v>26</v>
      </c>
      <c r="G646" t="s">
        <v>14</v>
      </c>
      <c r="H646" t="s">
        <v>15</v>
      </c>
      <c r="I646" t="s">
        <v>27</v>
      </c>
      <c r="J646" t="s">
        <v>118</v>
      </c>
      <c r="K646">
        <v>7</v>
      </c>
      <c r="L646" s="4">
        <v>2305.5700000000002</v>
      </c>
      <c r="M646">
        <v>562.61</v>
      </c>
    </row>
    <row r="647" spans="1:13" x14ac:dyDescent="0.25">
      <c r="A647">
        <v>10646</v>
      </c>
      <c r="B647" t="str">
        <f t="shared" si="20"/>
        <v>Oct</v>
      </c>
      <c r="C647">
        <f t="shared" si="21"/>
        <v>10</v>
      </c>
      <c r="D647" t="s">
        <v>475</v>
      </c>
      <c r="E647" t="s">
        <v>816</v>
      </c>
      <c r="F647" t="s">
        <v>31</v>
      </c>
      <c r="G647" t="s">
        <v>32</v>
      </c>
      <c r="H647" t="s">
        <v>33</v>
      </c>
      <c r="I647" t="s">
        <v>27</v>
      </c>
      <c r="J647" t="s">
        <v>77</v>
      </c>
      <c r="K647">
        <v>3</v>
      </c>
      <c r="L647" s="4">
        <v>1631.05</v>
      </c>
      <c r="M647">
        <v>163.80000000000001</v>
      </c>
    </row>
    <row r="648" spans="1:13" x14ac:dyDescent="0.25">
      <c r="A648">
        <v>10647</v>
      </c>
      <c r="B648" t="str">
        <f t="shared" si="20"/>
        <v>Nov</v>
      </c>
      <c r="C648">
        <f t="shared" si="21"/>
        <v>11</v>
      </c>
      <c r="D648" t="s">
        <v>336</v>
      </c>
      <c r="E648" t="s">
        <v>729</v>
      </c>
      <c r="F648" t="s">
        <v>31</v>
      </c>
      <c r="G648" t="s">
        <v>20</v>
      </c>
      <c r="H648" t="s">
        <v>76</v>
      </c>
      <c r="I648" t="s">
        <v>16</v>
      </c>
      <c r="J648" t="s">
        <v>43</v>
      </c>
      <c r="K648">
        <v>1</v>
      </c>
      <c r="L648" s="4">
        <v>2017.79</v>
      </c>
      <c r="M648">
        <v>253.35</v>
      </c>
    </row>
    <row r="649" spans="1:13" x14ac:dyDescent="0.25">
      <c r="A649">
        <v>10648</v>
      </c>
      <c r="B649" t="str">
        <f t="shared" si="20"/>
        <v>Oct</v>
      </c>
      <c r="C649">
        <f t="shared" si="21"/>
        <v>10</v>
      </c>
      <c r="D649" t="s">
        <v>817</v>
      </c>
      <c r="E649" t="s">
        <v>472</v>
      </c>
      <c r="F649" t="s">
        <v>13</v>
      </c>
      <c r="G649" t="s">
        <v>32</v>
      </c>
      <c r="H649" t="s">
        <v>54</v>
      </c>
      <c r="I649" t="s">
        <v>22</v>
      </c>
      <c r="J649" t="s">
        <v>23</v>
      </c>
      <c r="K649">
        <v>1</v>
      </c>
      <c r="L649" s="4">
        <v>728.17</v>
      </c>
      <c r="M649">
        <v>22.16</v>
      </c>
    </row>
    <row r="650" spans="1:13" x14ac:dyDescent="0.25">
      <c r="A650">
        <v>10649</v>
      </c>
      <c r="B650" t="str">
        <f t="shared" si="20"/>
        <v>May</v>
      </c>
      <c r="C650">
        <f t="shared" si="21"/>
        <v>5</v>
      </c>
      <c r="D650" t="s">
        <v>92</v>
      </c>
      <c r="E650" t="s">
        <v>818</v>
      </c>
      <c r="F650" t="s">
        <v>26</v>
      </c>
      <c r="G650" t="s">
        <v>32</v>
      </c>
      <c r="H650" t="s">
        <v>54</v>
      </c>
      <c r="I650" t="s">
        <v>22</v>
      </c>
      <c r="J650" t="s">
        <v>34</v>
      </c>
      <c r="K650">
        <v>6</v>
      </c>
      <c r="L650" s="4">
        <v>4960.53</v>
      </c>
      <c r="M650">
        <v>753.23</v>
      </c>
    </row>
    <row r="651" spans="1:13" x14ac:dyDescent="0.25">
      <c r="A651">
        <v>10650</v>
      </c>
      <c r="B651" t="str">
        <f t="shared" si="20"/>
        <v>Jan</v>
      </c>
      <c r="C651">
        <f t="shared" si="21"/>
        <v>1</v>
      </c>
      <c r="D651" t="s">
        <v>107</v>
      </c>
      <c r="E651" t="s">
        <v>265</v>
      </c>
      <c r="F651" t="s">
        <v>13</v>
      </c>
      <c r="G651" t="s">
        <v>32</v>
      </c>
      <c r="H651" t="s">
        <v>33</v>
      </c>
      <c r="I651" t="s">
        <v>16</v>
      </c>
      <c r="J651" t="s">
        <v>81</v>
      </c>
      <c r="K651">
        <v>5</v>
      </c>
      <c r="L651" s="4">
        <v>660.91</v>
      </c>
      <c r="M651">
        <v>7.26</v>
      </c>
    </row>
    <row r="652" spans="1:13" x14ac:dyDescent="0.25">
      <c r="A652">
        <v>10651</v>
      </c>
      <c r="B652" t="str">
        <f t="shared" si="20"/>
        <v>Jul</v>
      </c>
      <c r="C652">
        <f t="shared" si="21"/>
        <v>7</v>
      </c>
      <c r="D652" t="s">
        <v>819</v>
      </c>
      <c r="E652" t="s">
        <v>820</v>
      </c>
      <c r="F652" t="s">
        <v>13</v>
      </c>
      <c r="G652" t="s">
        <v>20</v>
      </c>
      <c r="H652" t="s">
        <v>76</v>
      </c>
      <c r="I652" t="s">
        <v>27</v>
      </c>
      <c r="J652" t="s">
        <v>118</v>
      </c>
      <c r="K652">
        <v>8</v>
      </c>
      <c r="L652" s="4">
        <v>2981.15</v>
      </c>
      <c r="M652">
        <v>845.96</v>
      </c>
    </row>
    <row r="653" spans="1:13" x14ac:dyDescent="0.25">
      <c r="A653">
        <v>10652</v>
      </c>
      <c r="B653" t="str">
        <f t="shared" si="20"/>
        <v>Mar</v>
      </c>
      <c r="C653">
        <f t="shared" si="21"/>
        <v>3</v>
      </c>
      <c r="D653" t="s">
        <v>706</v>
      </c>
      <c r="E653" t="s">
        <v>821</v>
      </c>
      <c r="F653" t="s">
        <v>31</v>
      </c>
      <c r="G653" t="s">
        <v>14</v>
      </c>
      <c r="H653" t="s">
        <v>37</v>
      </c>
      <c r="I653" t="s">
        <v>22</v>
      </c>
      <c r="J653" t="s">
        <v>48</v>
      </c>
      <c r="K653">
        <v>6</v>
      </c>
      <c r="L653" s="4">
        <v>2533.98</v>
      </c>
      <c r="M653">
        <v>574.01</v>
      </c>
    </row>
    <row r="654" spans="1:13" x14ac:dyDescent="0.25">
      <c r="A654">
        <v>10653</v>
      </c>
      <c r="B654" t="str">
        <f t="shared" si="20"/>
        <v>Jan</v>
      </c>
      <c r="C654">
        <f t="shared" si="21"/>
        <v>1</v>
      </c>
      <c r="D654" t="s">
        <v>791</v>
      </c>
      <c r="E654" t="s">
        <v>822</v>
      </c>
      <c r="F654" t="s">
        <v>13</v>
      </c>
      <c r="G654" t="s">
        <v>32</v>
      </c>
      <c r="H654" t="s">
        <v>54</v>
      </c>
      <c r="I654" t="s">
        <v>22</v>
      </c>
      <c r="J654" t="s">
        <v>34</v>
      </c>
      <c r="K654">
        <v>2</v>
      </c>
      <c r="L654" s="4">
        <v>4217.8599999999997</v>
      </c>
      <c r="M654">
        <v>747.18</v>
      </c>
    </row>
    <row r="655" spans="1:13" x14ac:dyDescent="0.25">
      <c r="A655">
        <v>10654</v>
      </c>
      <c r="B655" t="str">
        <f t="shared" si="20"/>
        <v>Sep</v>
      </c>
      <c r="C655">
        <f t="shared" si="21"/>
        <v>9</v>
      </c>
      <c r="D655" t="s">
        <v>59</v>
      </c>
      <c r="E655" t="s">
        <v>64</v>
      </c>
      <c r="F655" t="s">
        <v>31</v>
      </c>
      <c r="G655" t="s">
        <v>20</v>
      </c>
      <c r="H655" t="s">
        <v>21</v>
      </c>
      <c r="I655" t="s">
        <v>16</v>
      </c>
      <c r="J655" t="s">
        <v>81</v>
      </c>
      <c r="K655">
        <v>2</v>
      </c>
      <c r="L655" s="4">
        <v>3000.14</v>
      </c>
      <c r="M655">
        <v>298.39999999999998</v>
      </c>
    </row>
    <row r="656" spans="1:13" x14ac:dyDescent="0.25">
      <c r="A656">
        <v>10655</v>
      </c>
      <c r="B656" t="str">
        <f t="shared" si="20"/>
        <v>Jul</v>
      </c>
      <c r="C656">
        <f t="shared" si="21"/>
        <v>7</v>
      </c>
      <c r="D656" t="s">
        <v>490</v>
      </c>
      <c r="E656" t="s">
        <v>758</v>
      </c>
      <c r="F656" t="s">
        <v>13</v>
      </c>
      <c r="G656" t="s">
        <v>46</v>
      </c>
      <c r="H656" t="s">
        <v>47</v>
      </c>
      <c r="I656" t="s">
        <v>22</v>
      </c>
      <c r="J656" t="s">
        <v>38</v>
      </c>
      <c r="K656">
        <v>5</v>
      </c>
      <c r="L656" s="4">
        <v>2221.2600000000002</v>
      </c>
      <c r="M656">
        <v>390.9</v>
      </c>
    </row>
    <row r="657" spans="1:13" x14ac:dyDescent="0.25">
      <c r="A657">
        <v>10656</v>
      </c>
      <c r="B657" t="str">
        <f t="shared" si="20"/>
        <v>Aug</v>
      </c>
      <c r="C657">
        <f t="shared" si="21"/>
        <v>8</v>
      </c>
      <c r="D657" t="s">
        <v>55</v>
      </c>
      <c r="E657" t="s">
        <v>823</v>
      </c>
      <c r="F657" t="s">
        <v>13</v>
      </c>
      <c r="G657" t="s">
        <v>20</v>
      </c>
      <c r="H657" t="s">
        <v>21</v>
      </c>
      <c r="I657" t="s">
        <v>22</v>
      </c>
      <c r="J657" t="s">
        <v>48</v>
      </c>
      <c r="K657">
        <v>8</v>
      </c>
      <c r="L657" s="4">
        <v>1143.47</v>
      </c>
      <c r="M657">
        <v>257.99</v>
      </c>
    </row>
    <row r="658" spans="1:13" x14ac:dyDescent="0.25">
      <c r="A658">
        <v>10657</v>
      </c>
      <c r="B658" t="str">
        <f t="shared" si="20"/>
        <v>Jun</v>
      </c>
      <c r="C658">
        <f t="shared" si="21"/>
        <v>6</v>
      </c>
      <c r="D658" t="s">
        <v>116</v>
      </c>
      <c r="E658" t="s">
        <v>824</v>
      </c>
      <c r="F658" t="s">
        <v>31</v>
      </c>
      <c r="G658" t="s">
        <v>20</v>
      </c>
      <c r="H658" t="s">
        <v>21</v>
      </c>
      <c r="I658" t="s">
        <v>16</v>
      </c>
      <c r="J658" t="s">
        <v>43</v>
      </c>
      <c r="K658">
        <v>6</v>
      </c>
      <c r="L658" s="4">
        <v>2366.1799999999998</v>
      </c>
      <c r="M658">
        <v>185.86</v>
      </c>
    </row>
    <row r="659" spans="1:13" x14ac:dyDescent="0.25">
      <c r="A659">
        <v>10658</v>
      </c>
      <c r="B659" t="str">
        <f t="shared" si="20"/>
        <v>Dec</v>
      </c>
      <c r="C659">
        <f t="shared" si="21"/>
        <v>12</v>
      </c>
      <c r="D659" t="s">
        <v>96</v>
      </c>
      <c r="E659" t="s">
        <v>825</v>
      </c>
      <c r="F659" t="s">
        <v>26</v>
      </c>
      <c r="G659" t="s">
        <v>20</v>
      </c>
      <c r="H659" t="s">
        <v>76</v>
      </c>
      <c r="I659" t="s">
        <v>22</v>
      </c>
      <c r="J659" t="s">
        <v>48</v>
      </c>
      <c r="K659">
        <v>7</v>
      </c>
      <c r="L659" s="4">
        <v>1407.98</v>
      </c>
      <c r="M659">
        <v>155.38</v>
      </c>
    </row>
    <row r="660" spans="1:13" x14ac:dyDescent="0.25">
      <c r="A660">
        <v>10659</v>
      </c>
      <c r="B660" t="str">
        <f t="shared" si="20"/>
        <v>Sep</v>
      </c>
      <c r="C660">
        <f t="shared" si="21"/>
        <v>9</v>
      </c>
      <c r="D660" t="s">
        <v>281</v>
      </c>
      <c r="E660" t="s">
        <v>826</v>
      </c>
      <c r="F660" t="s">
        <v>31</v>
      </c>
      <c r="G660" t="s">
        <v>20</v>
      </c>
      <c r="H660" t="s">
        <v>21</v>
      </c>
      <c r="I660" t="s">
        <v>22</v>
      </c>
      <c r="J660" t="s">
        <v>48</v>
      </c>
      <c r="K660">
        <v>4</v>
      </c>
      <c r="L660" s="4">
        <v>235.75</v>
      </c>
      <c r="M660">
        <v>27.71</v>
      </c>
    </row>
    <row r="661" spans="1:13" x14ac:dyDescent="0.25">
      <c r="A661">
        <v>10660</v>
      </c>
      <c r="B661" t="str">
        <f t="shared" si="20"/>
        <v>Dec</v>
      </c>
      <c r="C661">
        <f t="shared" si="21"/>
        <v>12</v>
      </c>
      <c r="D661" t="s">
        <v>63</v>
      </c>
      <c r="E661" t="s">
        <v>827</v>
      </c>
      <c r="F661" t="s">
        <v>26</v>
      </c>
      <c r="G661" t="s">
        <v>20</v>
      </c>
      <c r="H661" t="s">
        <v>21</v>
      </c>
      <c r="I661" t="s">
        <v>22</v>
      </c>
      <c r="J661" t="s">
        <v>48</v>
      </c>
      <c r="K661">
        <v>5</v>
      </c>
      <c r="L661" s="4">
        <v>768.51</v>
      </c>
      <c r="M661">
        <v>7.72</v>
      </c>
    </row>
    <row r="662" spans="1:13" x14ac:dyDescent="0.25">
      <c r="A662">
        <v>10661</v>
      </c>
      <c r="B662" t="str">
        <f t="shared" si="20"/>
        <v>Jul</v>
      </c>
      <c r="C662">
        <f t="shared" si="21"/>
        <v>7</v>
      </c>
      <c r="D662" t="s">
        <v>134</v>
      </c>
      <c r="E662" t="s">
        <v>828</v>
      </c>
      <c r="F662" t="s">
        <v>13</v>
      </c>
      <c r="G662" t="s">
        <v>14</v>
      </c>
      <c r="H662" t="s">
        <v>37</v>
      </c>
      <c r="I662" t="s">
        <v>22</v>
      </c>
      <c r="J662" t="s">
        <v>23</v>
      </c>
      <c r="K662">
        <v>2</v>
      </c>
      <c r="L662" s="4">
        <v>1638.13</v>
      </c>
      <c r="M662">
        <v>197.58</v>
      </c>
    </row>
    <row r="663" spans="1:13" x14ac:dyDescent="0.25">
      <c r="A663">
        <v>10662</v>
      </c>
      <c r="B663" t="str">
        <f t="shared" si="20"/>
        <v>Sep</v>
      </c>
      <c r="C663">
        <f t="shared" si="21"/>
        <v>9</v>
      </c>
      <c r="D663" t="s">
        <v>88</v>
      </c>
      <c r="E663" t="s">
        <v>829</v>
      </c>
      <c r="F663" t="s">
        <v>13</v>
      </c>
      <c r="G663" t="s">
        <v>14</v>
      </c>
      <c r="H663" t="s">
        <v>37</v>
      </c>
      <c r="I663" t="s">
        <v>16</v>
      </c>
      <c r="J663" t="s">
        <v>43</v>
      </c>
      <c r="K663">
        <v>4</v>
      </c>
      <c r="L663" s="4">
        <v>648.47</v>
      </c>
      <c r="M663">
        <v>58.2</v>
      </c>
    </row>
    <row r="664" spans="1:13" x14ac:dyDescent="0.25">
      <c r="A664">
        <v>10663</v>
      </c>
      <c r="B664" t="str">
        <f t="shared" si="20"/>
        <v>Jul</v>
      </c>
      <c r="C664">
        <f t="shared" si="21"/>
        <v>7</v>
      </c>
      <c r="D664" t="s">
        <v>819</v>
      </c>
      <c r="E664" t="s">
        <v>830</v>
      </c>
      <c r="F664" t="s">
        <v>13</v>
      </c>
      <c r="G664" t="s">
        <v>32</v>
      </c>
      <c r="H664" t="s">
        <v>54</v>
      </c>
      <c r="I664" t="s">
        <v>22</v>
      </c>
      <c r="J664" t="s">
        <v>48</v>
      </c>
      <c r="K664">
        <v>2</v>
      </c>
      <c r="L664" s="4">
        <v>3888.64</v>
      </c>
      <c r="M664">
        <v>415.88</v>
      </c>
    </row>
    <row r="665" spans="1:13" x14ac:dyDescent="0.25">
      <c r="A665">
        <v>10664</v>
      </c>
      <c r="B665" t="str">
        <f t="shared" si="20"/>
        <v>May</v>
      </c>
      <c r="C665">
        <f t="shared" si="21"/>
        <v>5</v>
      </c>
      <c r="D665" t="s">
        <v>486</v>
      </c>
      <c r="E665" t="s">
        <v>712</v>
      </c>
      <c r="F665" t="s">
        <v>13</v>
      </c>
      <c r="G665" t="s">
        <v>46</v>
      </c>
      <c r="H665" t="s">
        <v>47</v>
      </c>
      <c r="I665" t="s">
        <v>22</v>
      </c>
      <c r="J665" t="s">
        <v>48</v>
      </c>
      <c r="K665">
        <v>2</v>
      </c>
      <c r="L665" s="4">
        <v>958.26</v>
      </c>
      <c r="M665">
        <v>236.33</v>
      </c>
    </row>
    <row r="666" spans="1:13" x14ac:dyDescent="0.25">
      <c r="A666">
        <v>10665</v>
      </c>
      <c r="B666" t="str">
        <f t="shared" si="20"/>
        <v>May</v>
      </c>
      <c r="C666">
        <f t="shared" si="21"/>
        <v>5</v>
      </c>
      <c r="D666" t="s">
        <v>24</v>
      </c>
      <c r="E666" t="s">
        <v>831</v>
      </c>
      <c r="F666" t="s">
        <v>26</v>
      </c>
      <c r="G666" t="s">
        <v>14</v>
      </c>
      <c r="H666" t="s">
        <v>37</v>
      </c>
      <c r="I666" t="s">
        <v>16</v>
      </c>
      <c r="J666" t="s">
        <v>17</v>
      </c>
      <c r="K666">
        <v>2</v>
      </c>
      <c r="L666" s="4">
        <v>1650.8</v>
      </c>
      <c r="M666">
        <v>189.16</v>
      </c>
    </row>
    <row r="667" spans="1:13" x14ac:dyDescent="0.25">
      <c r="A667">
        <v>10666</v>
      </c>
      <c r="B667" t="str">
        <f t="shared" si="20"/>
        <v>Dec</v>
      </c>
      <c r="C667">
        <f t="shared" si="21"/>
        <v>12</v>
      </c>
      <c r="D667" t="s">
        <v>832</v>
      </c>
      <c r="E667" t="s">
        <v>724</v>
      </c>
      <c r="F667" t="s">
        <v>26</v>
      </c>
      <c r="G667" t="s">
        <v>32</v>
      </c>
      <c r="H667" t="s">
        <v>54</v>
      </c>
      <c r="I667" t="s">
        <v>16</v>
      </c>
      <c r="J667" t="s">
        <v>17</v>
      </c>
      <c r="K667">
        <v>5</v>
      </c>
      <c r="L667" s="4">
        <v>203.26</v>
      </c>
      <c r="M667">
        <v>-1.29</v>
      </c>
    </row>
    <row r="668" spans="1:13" x14ac:dyDescent="0.25">
      <c r="A668">
        <v>10667</v>
      </c>
      <c r="B668" t="str">
        <f t="shared" si="20"/>
        <v>Dec</v>
      </c>
      <c r="C668">
        <f t="shared" si="21"/>
        <v>12</v>
      </c>
      <c r="D668" t="s">
        <v>279</v>
      </c>
      <c r="E668" t="s">
        <v>764</v>
      </c>
      <c r="F668" t="s">
        <v>13</v>
      </c>
      <c r="G668" t="s">
        <v>46</v>
      </c>
      <c r="H668" t="s">
        <v>47</v>
      </c>
      <c r="I668" t="s">
        <v>16</v>
      </c>
      <c r="J668" t="s">
        <v>51</v>
      </c>
      <c r="K668">
        <v>5</v>
      </c>
      <c r="L668" s="4">
        <v>3230.85</v>
      </c>
      <c r="M668">
        <v>637.12</v>
      </c>
    </row>
    <row r="669" spans="1:13" x14ac:dyDescent="0.25">
      <c r="A669">
        <v>10668</v>
      </c>
      <c r="B669" t="str">
        <f t="shared" si="20"/>
        <v>May</v>
      </c>
      <c r="C669">
        <f t="shared" si="21"/>
        <v>5</v>
      </c>
      <c r="D669" t="s">
        <v>577</v>
      </c>
      <c r="E669" t="s">
        <v>822</v>
      </c>
      <c r="F669" t="s">
        <v>26</v>
      </c>
      <c r="G669" t="s">
        <v>46</v>
      </c>
      <c r="H669" t="s">
        <v>47</v>
      </c>
      <c r="I669" t="s">
        <v>27</v>
      </c>
      <c r="J669" t="s">
        <v>118</v>
      </c>
      <c r="K669">
        <v>7</v>
      </c>
      <c r="L669" s="4">
        <v>4644.79</v>
      </c>
      <c r="M669">
        <v>1268.04</v>
      </c>
    </row>
    <row r="670" spans="1:13" x14ac:dyDescent="0.25">
      <c r="A670">
        <v>10669</v>
      </c>
      <c r="B670" t="str">
        <f t="shared" si="20"/>
        <v>Sep</v>
      </c>
      <c r="C670">
        <f t="shared" si="21"/>
        <v>9</v>
      </c>
      <c r="D670" t="s">
        <v>586</v>
      </c>
      <c r="E670" t="s">
        <v>693</v>
      </c>
      <c r="F670" t="s">
        <v>13</v>
      </c>
      <c r="G670" t="s">
        <v>46</v>
      </c>
      <c r="H670" t="s">
        <v>47</v>
      </c>
      <c r="I670" t="s">
        <v>16</v>
      </c>
      <c r="J670" t="s">
        <v>17</v>
      </c>
      <c r="K670">
        <v>7</v>
      </c>
      <c r="L670" s="4">
        <v>3967.66</v>
      </c>
      <c r="M670">
        <v>462.19</v>
      </c>
    </row>
    <row r="671" spans="1:13" x14ac:dyDescent="0.25">
      <c r="A671">
        <v>10670</v>
      </c>
      <c r="B671" t="str">
        <f t="shared" si="20"/>
        <v>Jun</v>
      </c>
      <c r="C671">
        <f t="shared" si="21"/>
        <v>6</v>
      </c>
      <c r="D671" t="s">
        <v>685</v>
      </c>
      <c r="E671" t="s">
        <v>476</v>
      </c>
      <c r="F671" t="s">
        <v>13</v>
      </c>
      <c r="G671" t="s">
        <v>20</v>
      </c>
      <c r="H671" t="s">
        <v>76</v>
      </c>
      <c r="I671" t="s">
        <v>16</v>
      </c>
      <c r="J671" t="s">
        <v>51</v>
      </c>
      <c r="K671">
        <v>2</v>
      </c>
      <c r="L671" s="4">
        <v>4139.5600000000004</v>
      </c>
      <c r="M671">
        <v>879.2</v>
      </c>
    </row>
    <row r="672" spans="1:13" x14ac:dyDescent="0.25">
      <c r="A672">
        <v>10671</v>
      </c>
      <c r="B672" t="str">
        <f t="shared" si="20"/>
        <v>Nov</v>
      </c>
      <c r="C672">
        <f t="shared" si="21"/>
        <v>11</v>
      </c>
      <c r="D672" t="s">
        <v>330</v>
      </c>
      <c r="E672" t="s">
        <v>611</v>
      </c>
      <c r="F672" t="s">
        <v>26</v>
      </c>
      <c r="G672" t="s">
        <v>32</v>
      </c>
      <c r="H672" t="s">
        <v>54</v>
      </c>
      <c r="I672" t="s">
        <v>16</v>
      </c>
      <c r="J672" t="s">
        <v>81</v>
      </c>
      <c r="K672">
        <v>1</v>
      </c>
      <c r="L672" s="4">
        <v>3242.73</v>
      </c>
      <c r="M672">
        <v>266.75</v>
      </c>
    </row>
    <row r="673" spans="1:13" x14ac:dyDescent="0.25">
      <c r="A673">
        <v>10672</v>
      </c>
      <c r="B673" t="str">
        <f t="shared" si="20"/>
        <v>Nov</v>
      </c>
      <c r="C673">
        <f t="shared" si="21"/>
        <v>11</v>
      </c>
      <c r="D673" t="s">
        <v>18</v>
      </c>
      <c r="E673" t="s">
        <v>175</v>
      </c>
      <c r="F673" t="s">
        <v>26</v>
      </c>
      <c r="G673" t="s">
        <v>20</v>
      </c>
      <c r="H673" t="s">
        <v>21</v>
      </c>
      <c r="I673" t="s">
        <v>16</v>
      </c>
      <c r="J673" t="s">
        <v>17</v>
      </c>
      <c r="K673">
        <v>6</v>
      </c>
      <c r="L673" s="4">
        <v>2921.47</v>
      </c>
      <c r="M673">
        <v>202.06</v>
      </c>
    </row>
    <row r="674" spans="1:13" x14ac:dyDescent="0.25">
      <c r="A674">
        <v>10673</v>
      </c>
      <c r="B674" t="str">
        <f t="shared" si="20"/>
        <v>May</v>
      </c>
      <c r="C674">
        <f t="shared" si="21"/>
        <v>5</v>
      </c>
      <c r="D674" t="s">
        <v>276</v>
      </c>
      <c r="E674" t="s">
        <v>217</v>
      </c>
      <c r="F674" t="s">
        <v>26</v>
      </c>
      <c r="G674" t="s">
        <v>20</v>
      </c>
      <c r="H674" t="s">
        <v>76</v>
      </c>
      <c r="I674" t="s">
        <v>27</v>
      </c>
      <c r="J674" t="s">
        <v>77</v>
      </c>
      <c r="K674">
        <v>3</v>
      </c>
      <c r="L674" s="4">
        <v>1377.33</v>
      </c>
      <c r="M674">
        <v>222.91</v>
      </c>
    </row>
    <row r="675" spans="1:13" x14ac:dyDescent="0.25">
      <c r="A675">
        <v>10674</v>
      </c>
      <c r="B675" t="str">
        <f t="shared" si="20"/>
        <v>Jan</v>
      </c>
      <c r="C675">
        <f t="shared" si="21"/>
        <v>1</v>
      </c>
      <c r="D675" t="s">
        <v>627</v>
      </c>
      <c r="E675" t="s">
        <v>705</v>
      </c>
      <c r="F675" t="s">
        <v>13</v>
      </c>
      <c r="G675" t="s">
        <v>20</v>
      </c>
      <c r="H675" t="s">
        <v>76</v>
      </c>
      <c r="I675" t="s">
        <v>22</v>
      </c>
      <c r="J675" t="s">
        <v>34</v>
      </c>
      <c r="K675">
        <v>7</v>
      </c>
      <c r="L675" s="4">
        <v>4729.3100000000004</v>
      </c>
      <c r="M675">
        <v>1259.5999999999999</v>
      </c>
    </row>
    <row r="676" spans="1:13" x14ac:dyDescent="0.25">
      <c r="A676">
        <v>10675</v>
      </c>
      <c r="B676" t="str">
        <f t="shared" si="20"/>
        <v>Aug</v>
      </c>
      <c r="C676">
        <f t="shared" si="21"/>
        <v>8</v>
      </c>
      <c r="D676" t="s">
        <v>142</v>
      </c>
      <c r="E676" t="s">
        <v>811</v>
      </c>
      <c r="F676" t="s">
        <v>31</v>
      </c>
      <c r="G676" t="s">
        <v>46</v>
      </c>
      <c r="H676" t="s">
        <v>71</v>
      </c>
      <c r="I676" t="s">
        <v>27</v>
      </c>
      <c r="J676" t="s">
        <v>104</v>
      </c>
      <c r="K676">
        <v>5</v>
      </c>
      <c r="L676" s="4">
        <v>3536.18</v>
      </c>
      <c r="M676">
        <v>285.89</v>
      </c>
    </row>
    <row r="677" spans="1:13" x14ac:dyDescent="0.25">
      <c r="A677">
        <v>10676</v>
      </c>
      <c r="B677" t="str">
        <f t="shared" si="20"/>
        <v>Aug</v>
      </c>
      <c r="C677">
        <f t="shared" si="21"/>
        <v>8</v>
      </c>
      <c r="D677" t="s">
        <v>245</v>
      </c>
      <c r="E677" t="s">
        <v>631</v>
      </c>
      <c r="F677" t="s">
        <v>13</v>
      </c>
      <c r="G677" t="s">
        <v>46</v>
      </c>
      <c r="H677" t="s">
        <v>71</v>
      </c>
      <c r="I677" t="s">
        <v>27</v>
      </c>
      <c r="J677" t="s">
        <v>104</v>
      </c>
      <c r="K677">
        <v>2</v>
      </c>
      <c r="L677" s="4">
        <v>169.16</v>
      </c>
      <c r="M677">
        <v>-46.64</v>
      </c>
    </row>
    <row r="678" spans="1:13" x14ac:dyDescent="0.25">
      <c r="A678">
        <v>10677</v>
      </c>
      <c r="B678" t="str">
        <f t="shared" si="20"/>
        <v>Sep</v>
      </c>
      <c r="C678">
        <f t="shared" si="21"/>
        <v>9</v>
      </c>
      <c r="D678" t="s">
        <v>339</v>
      </c>
      <c r="E678" t="s">
        <v>833</v>
      </c>
      <c r="F678" t="s">
        <v>26</v>
      </c>
      <c r="G678" t="s">
        <v>20</v>
      </c>
      <c r="H678" t="s">
        <v>21</v>
      </c>
      <c r="I678" t="s">
        <v>22</v>
      </c>
      <c r="J678" t="s">
        <v>48</v>
      </c>
      <c r="K678">
        <v>4</v>
      </c>
      <c r="L678" s="4">
        <v>4735.66</v>
      </c>
      <c r="M678">
        <v>1173.17</v>
      </c>
    </row>
    <row r="679" spans="1:13" x14ac:dyDescent="0.25">
      <c r="A679">
        <v>10678</v>
      </c>
      <c r="B679" t="str">
        <f t="shared" si="20"/>
        <v>Mar</v>
      </c>
      <c r="C679">
        <f t="shared" si="21"/>
        <v>3</v>
      </c>
      <c r="D679" t="s">
        <v>620</v>
      </c>
      <c r="E679" t="s">
        <v>834</v>
      </c>
      <c r="F679" t="s">
        <v>31</v>
      </c>
      <c r="G679" t="s">
        <v>20</v>
      </c>
      <c r="H679" t="s">
        <v>21</v>
      </c>
      <c r="I679" t="s">
        <v>16</v>
      </c>
      <c r="J679" t="s">
        <v>43</v>
      </c>
      <c r="K679">
        <v>5</v>
      </c>
      <c r="L679" s="4">
        <v>3660.87</v>
      </c>
      <c r="M679">
        <v>338.31</v>
      </c>
    </row>
    <row r="680" spans="1:13" x14ac:dyDescent="0.25">
      <c r="A680">
        <v>10679</v>
      </c>
      <c r="B680" t="str">
        <f t="shared" si="20"/>
        <v>Jan</v>
      </c>
      <c r="C680">
        <f t="shared" si="21"/>
        <v>1</v>
      </c>
      <c r="D680" t="s">
        <v>835</v>
      </c>
      <c r="E680" t="s">
        <v>271</v>
      </c>
      <c r="F680" t="s">
        <v>26</v>
      </c>
      <c r="G680" t="s">
        <v>32</v>
      </c>
      <c r="H680" t="s">
        <v>33</v>
      </c>
      <c r="I680" t="s">
        <v>16</v>
      </c>
      <c r="J680" t="s">
        <v>51</v>
      </c>
      <c r="K680">
        <v>4</v>
      </c>
      <c r="L680" s="4">
        <v>1911.22</v>
      </c>
      <c r="M680">
        <v>376.69</v>
      </c>
    </row>
    <row r="681" spans="1:13" x14ac:dyDescent="0.25">
      <c r="A681">
        <v>10680</v>
      </c>
      <c r="B681" t="str">
        <f t="shared" si="20"/>
        <v>Feb</v>
      </c>
      <c r="C681">
        <f t="shared" si="21"/>
        <v>2</v>
      </c>
      <c r="D681" t="s">
        <v>72</v>
      </c>
      <c r="E681" t="s">
        <v>588</v>
      </c>
      <c r="F681" t="s">
        <v>26</v>
      </c>
      <c r="G681" t="s">
        <v>32</v>
      </c>
      <c r="H681" t="s">
        <v>54</v>
      </c>
      <c r="I681" t="s">
        <v>16</v>
      </c>
      <c r="J681" t="s">
        <v>43</v>
      </c>
      <c r="K681">
        <v>7</v>
      </c>
      <c r="L681" s="4">
        <v>3571.42</v>
      </c>
      <c r="M681">
        <v>810.18</v>
      </c>
    </row>
    <row r="682" spans="1:13" x14ac:dyDescent="0.25">
      <c r="A682">
        <v>10681</v>
      </c>
      <c r="B682" t="str">
        <f t="shared" si="20"/>
        <v>Nov</v>
      </c>
      <c r="C682">
        <f t="shared" si="21"/>
        <v>11</v>
      </c>
      <c r="D682" t="s">
        <v>429</v>
      </c>
      <c r="E682" t="s">
        <v>836</v>
      </c>
      <c r="F682" t="s">
        <v>13</v>
      </c>
      <c r="G682" t="s">
        <v>14</v>
      </c>
      <c r="H682" t="s">
        <v>37</v>
      </c>
      <c r="I682" t="s">
        <v>22</v>
      </c>
      <c r="J682" t="s">
        <v>34</v>
      </c>
      <c r="K682">
        <v>6</v>
      </c>
      <c r="L682" s="4">
        <v>4984.0200000000004</v>
      </c>
      <c r="M682">
        <v>1322.88</v>
      </c>
    </row>
    <row r="683" spans="1:13" x14ac:dyDescent="0.25">
      <c r="A683">
        <v>10682</v>
      </c>
      <c r="B683" t="str">
        <f t="shared" si="20"/>
        <v>Oct</v>
      </c>
      <c r="C683">
        <f t="shared" si="21"/>
        <v>10</v>
      </c>
      <c r="D683" t="s">
        <v>837</v>
      </c>
      <c r="E683" t="s">
        <v>838</v>
      </c>
      <c r="F683" t="s">
        <v>13</v>
      </c>
      <c r="G683" t="s">
        <v>14</v>
      </c>
      <c r="H683" t="s">
        <v>15</v>
      </c>
      <c r="I683" t="s">
        <v>27</v>
      </c>
      <c r="J683" t="s">
        <v>77</v>
      </c>
      <c r="K683">
        <v>5</v>
      </c>
      <c r="L683" s="4">
        <v>4889.87</v>
      </c>
      <c r="M683">
        <v>1051.8699999999999</v>
      </c>
    </row>
    <row r="684" spans="1:13" x14ac:dyDescent="0.25">
      <c r="A684">
        <v>10683</v>
      </c>
      <c r="B684" t="str">
        <f t="shared" si="20"/>
        <v>Sep</v>
      </c>
      <c r="C684">
        <f t="shared" si="21"/>
        <v>9</v>
      </c>
      <c r="D684" t="s">
        <v>59</v>
      </c>
      <c r="E684" t="s">
        <v>591</v>
      </c>
      <c r="F684" t="s">
        <v>26</v>
      </c>
      <c r="G684" t="s">
        <v>46</v>
      </c>
      <c r="H684" t="s">
        <v>47</v>
      </c>
      <c r="I684" t="s">
        <v>22</v>
      </c>
      <c r="J684" t="s">
        <v>34</v>
      </c>
      <c r="K684">
        <v>6</v>
      </c>
      <c r="L684" s="4">
        <v>4401.6899999999996</v>
      </c>
      <c r="M684">
        <v>333.52</v>
      </c>
    </row>
    <row r="685" spans="1:13" x14ac:dyDescent="0.25">
      <c r="A685">
        <v>10684</v>
      </c>
      <c r="B685" t="str">
        <f t="shared" si="20"/>
        <v>Jul</v>
      </c>
      <c r="C685">
        <f t="shared" si="21"/>
        <v>7</v>
      </c>
      <c r="D685" t="s">
        <v>368</v>
      </c>
      <c r="E685" t="s">
        <v>839</v>
      </c>
      <c r="F685" t="s">
        <v>31</v>
      </c>
      <c r="G685" t="s">
        <v>32</v>
      </c>
      <c r="H685" t="s">
        <v>33</v>
      </c>
      <c r="I685" t="s">
        <v>27</v>
      </c>
      <c r="J685" t="s">
        <v>118</v>
      </c>
      <c r="K685">
        <v>3</v>
      </c>
      <c r="L685" s="4">
        <v>2546.13</v>
      </c>
      <c r="M685">
        <v>718.79</v>
      </c>
    </row>
    <row r="686" spans="1:13" x14ac:dyDescent="0.25">
      <c r="A686">
        <v>10685</v>
      </c>
      <c r="B686" t="str">
        <f t="shared" si="20"/>
        <v>Mar</v>
      </c>
      <c r="C686">
        <f t="shared" si="21"/>
        <v>3</v>
      </c>
      <c r="D686" t="s">
        <v>469</v>
      </c>
      <c r="E686" t="s">
        <v>802</v>
      </c>
      <c r="F686" t="s">
        <v>13</v>
      </c>
      <c r="G686" t="s">
        <v>32</v>
      </c>
      <c r="H686" t="s">
        <v>54</v>
      </c>
      <c r="I686" t="s">
        <v>16</v>
      </c>
      <c r="J686" t="s">
        <v>17</v>
      </c>
      <c r="K686">
        <v>7</v>
      </c>
      <c r="L686" s="4">
        <v>4474.09</v>
      </c>
      <c r="M686">
        <v>477.19</v>
      </c>
    </row>
    <row r="687" spans="1:13" x14ac:dyDescent="0.25">
      <c r="A687">
        <v>10686</v>
      </c>
      <c r="B687" t="str">
        <f t="shared" si="20"/>
        <v>Dec</v>
      </c>
      <c r="C687">
        <f t="shared" si="21"/>
        <v>12</v>
      </c>
      <c r="D687" t="s">
        <v>721</v>
      </c>
      <c r="E687" t="s">
        <v>667</v>
      </c>
      <c r="F687" t="s">
        <v>31</v>
      </c>
      <c r="G687" t="s">
        <v>20</v>
      </c>
      <c r="H687" t="s">
        <v>21</v>
      </c>
      <c r="I687" t="s">
        <v>22</v>
      </c>
      <c r="J687" t="s">
        <v>48</v>
      </c>
      <c r="K687">
        <v>1</v>
      </c>
      <c r="L687" s="4">
        <v>1226.32</v>
      </c>
      <c r="M687">
        <v>46.29</v>
      </c>
    </row>
    <row r="688" spans="1:13" x14ac:dyDescent="0.25">
      <c r="A688">
        <v>10687</v>
      </c>
      <c r="B688" t="str">
        <f t="shared" si="20"/>
        <v>Feb</v>
      </c>
      <c r="C688">
        <f t="shared" si="21"/>
        <v>2</v>
      </c>
      <c r="D688" t="s">
        <v>374</v>
      </c>
      <c r="E688" t="s">
        <v>840</v>
      </c>
      <c r="F688" t="s">
        <v>13</v>
      </c>
      <c r="G688" t="s">
        <v>14</v>
      </c>
      <c r="H688" t="s">
        <v>37</v>
      </c>
      <c r="I688" t="s">
        <v>22</v>
      </c>
      <c r="J688" t="s">
        <v>34</v>
      </c>
      <c r="K688">
        <v>6</v>
      </c>
      <c r="L688" s="4">
        <v>4945.21</v>
      </c>
      <c r="M688">
        <v>894.87</v>
      </c>
    </row>
    <row r="689" spans="1:13" x14ac:dyDescent="0.25">
      <c r="A689">
        <v>10688</v>
      </c>
      <c r="B689" t="str">
        <f t="shared" si="20"/>
        <v>Sep</v>
      </c>
      <c r="C689">
        <f t="shared" si="21"/>
        <v>9</v>
      </c>
      <c r="D689" t="s">
        <v>841</v>
      </c>
      <c r="E689" t="s">
        <v>153</v>
      </c>
      <c r="F689" t="s">
        <v>31</v>
      </c>
      <c r="G689" t="s">
        <v>46</v>
      </c>
      <c r="H689" t="s">
        <v>71</v>
      </c>
      <c r="I689" t="s">
        <v>27</v>
      </c>
      <c r="J689" t="s">
        <v>118</v>
      </c>
      <c r="K689">
        <v>4</v>
      </c>
      <c r="L689" s="4">
        <v>4354.05</v>
      </c>
      <c r="M689">
        <v>397.52</v>
      </c>
    </row>
    <row r="690" spans="1:13" x14ac:dyDescent="0.25">
      <c r="A690">
        <v>10689</v>
      </c>
      <c r="B690" t="str">
        <f t="shared" si="20"/>
        <v>Feb</v>
      </c>
      <c r="C690">
        <f t="shared" si="21"/>
        <v>2</v>
      </c>
      <c r="D690" t="s">
        <v>72</v>
      </c>
      <c r="E690" t="s">
        <v>237</v>
      </c>
      <c r="F690" t="s">
        <v>26</v>
      </c>
      <c r="G690" t="s">
        <v>46</v>
      </c>
      <c r="H690" t="s">
        <v>71</v>
      </c>
      <c r="I690" t="s">
        <v>16</v>
      </c>
      <c r="J690" t="s">
        <v>43</v>
      </c>
      <c r="K690">
        <v>7</v>
      </c>
      <c r="L690" s="4">
        <v>4610.0200000000004</v>
      </c>
      <c r="M690">
        <v>464.39</v>
      </c>
    </row>
    <row r="691" spans="1:13" x14ac:dyDescent="0.25">
      <c r="A691">
        <v>10690</v>
      </c>
      <c r="B691" t="str">
        <f t="shared" si="20"/>
        <v>Dec</v>
      </c>
      <c r="C691">
        <f t="shared" si="21"/>
        <v>12</v>
      </c>
      <c r="D691" t="s">
        <v>400</v>
      </c>
      <c r="E691" t="s">
        <v>842</v>
      </c>
      <c r="F691" t="s">
        <v>31</v>
      </c>
      <c r="G691" t="s">
        <v>32</v>
      </c>
      <c r="H691" t="s">
        <v>33</v>
      </c>
      <c r="I691" t="s">
        <v>27</v>
      </c>
      <c r="J691" t="s">
        <v>28</v>
      </c>
      <c r="K691">
        <v>2</v>
      </c>
      <c r="L691" s="4">
        <v>4201.1899999999996</v>
      </c>
      <c r="M691">
        <v>363.46</v>
      </c>
    </row>
    <row r="692" spans="1:13" x14ac:dyDescent="0.25">
      <c r="A692">
        <v>10691</v>
      </c>
      <c r="B692" t="str">
        <f t="shared" si="20"/>
        <v>Jun</v>
      </c>
      <c r="C692">
        <f t="shared" si="21"/>
        <v>6</v>
      </c>
      <c r="D692" t="s">
        <v>843</v>
      </c>
      <c r="E692" t="s">
        <v>844</v>
      </c>
      <c r="F692" t="s">
        <v>13</v>
      </c>
      <c r="G692" t="s">
        <v>20</v>
      </c>
      <c r="H692" t="s">
        <v>76</v>
      </c>
      <c r="I692" t="s">
        <v>16</v>
      </c>
      <c r="J692" t="s">
        <v>81</v>
      </c>
      <c r="K692">
        <v>6</v>
      </c>
      <c r="L692" s="4">
        <v>4851.88</v>
      </c>
      <c r="M692">
        <v>943.42</v>
      </c>
    </row>
    <row r="693" spans="1:13" x14ac:dyDescent="0.25">
      <c r="A693">
        <v>10692</v>
      </c>
      <c r="B693" t="str">
        <f t="shared" si="20"/>
        <v>Nov</v>
      </c>
      <c r="C693">
        <f t="shared" si="21"/>
        <v>11</v>
      </c>
      <c r="D693" t="s">
        <v>845</v>
      </c>
      <c r="E693" t="s">
        <v>846</v>
      </c>
      <c r="F693" t="s">
        <v>26</v>
      </c>
      <c r="G693" t="s">
        <v>46</v>
      </c>
      <c r="H693" t="s">
        <v>71</v>
      </c>
      <c r="I693" t="s">
        <v>22</v>
      </c>
      <c r="J693" t="s">
        <v>38</v>
      </c>
      <c r="K693">
        <v>6</v>
      </c>
      <c r="L693" s="4">
        <v>4010.92</v>
      </c>
      <c r="M693">
        <v>891.66</v>
      </c>
    </row>
    <row r="694" spans="1:13" x14ac:dyDescent="0.25">
      <c r="A694">
        <v>10693</v>
      </c>
      <c r="B694" t="str">
        <f t="shared" si="20"/>
        <v>Jul</v>
      </c>
      <c r="C694">
        <f t="shared" si="21"/>
        <v>7</v>
      </c>
      <c r="D694" t="s">
        <v>189</v>
      </c>
      <c r="E694" t="s">
        <v>364</v>
      </c>
      <c r="F694" t="s">
        <v>13</v>
      </c>
      <c r="G694" t="s">
        <v>20</v>
      </c>
      <c r="H694" t="s">
        <v>76</v>
      </c>
      <c r="I694" t="s">
        <v>22</v>
      </c>
      <c r="J694" t="s">
        <v>48</v>
      </c>
      <c r="K694">
        <v>7</v>
      </c>
      <c r="L694" s="4">
        <v>537.02</v>
      </c>
      <c r="M694">
        <v>124.99</v>
      </c>
    </row>
    <row r="695" spans="1:13" x14ac:dyDescent="0.25">
      <c r="A695">
        <v>10694</v>
      </c>
      <c r="B695" t="str">
        <f t="shared" si="20"/>
        <v>Nov</v>
      </c>
      <c r="C695">
        <f t="shared" si="21"/>
        <v>11</v>
      </c>
      <c r="D695" t="s">
        <v>845</v>
      </c>
      <c r="E695" t="s">
        <v>699</v>
      </c>
      <c r="F695" t="s">
        <v>31</v>
      </c>
      <c r="G695" t="s">
        <v>46</v>
      </c>
      <c r="H695" t="s">
        <v>71</v>
      </c>
      <c r="I695" t="s">
        <v>27</v>
      </c>
      <c r="J695" t="s">
        <v>77</v>
      </c>
      <c r="K695">
        <v>7</v>
      </c>
      <c r="L695" s="4">
        <v>3705.86</v>
      </c>
      <c r="M695">
        <v>948.84</v>
      </c>
    </row>
    <row r="696" spans="1:13" x14ac:dyDescent="0.25">
      <c r="A696">
        <v>10695</v>
      </c>
      <c r="B696" t="str">
        <f t="shared" si="20"/>
        <v>Nov</v>
      </c>
      <c r="C696">
        <f t="shared" si="21"/>
        <v>11</v>
      </c>
      <c r="D696" t="s">
        <v>555</v>
      </c>
      <c r="E696" t="s">
        <v>634</v>
      </c>
      <c r="F696" t="s">
        <v>26</v>
      </c>
      <c r="G696" t="s">
        <v>14</v>
      </c>
      <c r="H696" t="s">
        <v>37</v>
      </c>
      <c r="I696" t="s">
        <v>16</v>
      </c>
      <c r="J696" t="s">
        <v>43</v>
      </c>
      <c r="K696">
        <v>8</v>
      </c>
      <c r="L696" s="4">
        <v>2282.67</v>
      </c>
      <c r="M696">
        <v>308.76</v>
      </c>
    </row>
    <row r="697" spans="1:13" x14ac:dyDescent="0.25">
      <c r="A697">
        <v>10696</v>
      </c>
      <c r="B697" t="str">
        <f t="shared" si="20"/>
        <v>Aug</v>
      </c>
      <c r="C697">
        <f t="shared" si="21"/>
        <v>8</v>
      </c>
      <c r="D697" t="s">
        <v>847</v>
      </c>
      <c r="E697" t="s">
        <v>729</v>
      </c>
      <c r="F697" t="s">
        <v>26</v>
      </c>
      <c r="G697" t="s">
        <v>20</v>
      </c>
      <c r="H697" t="s">
        <v>76</v>
      </c>
      <c r="I697" t="s">
        <v>16</v>
      </c>
      <c r="J697" t="s">
        <v>43</v>
      </c>
      <c r="K697">
        <v>7</v>
      </c>
      <c r="L697" s="4">
        <v>3190.36</v>
      </c>
      <c r="M697">
        <v>182.32</v>
      </c>
    </row>
    <row r="698" spans="1:13" x14ac:dyDescent="0.25">
      <c r="A698">
        <v>10697</v>
      </c>
      <c r="B698" t="str">
        <f t="shared" si="20"/>
        <v>Jun</v>
      </c>
      <c r="C698">
        <f t="shared" si="21"/>
        <v>6</v>
      </c>
      <c r="D698" t="s">
        <v>116</v>
      </c>
      <c r="E698" t="s">
        <v>848</v>
      </c>
      <c r="F698" t="s">
        <v>26</v>
      </c>
      <c r="G698" t="s">
        <v>46</v>
      </c>
      <c r="H698" t="s">
        <v>47</v>
      </c>
      <c r="I698" t="s">
        <v>16</v>
      </c>
      <c r="J698" t="s">
        <v>81</v>
      </c>
      <c r="K698">
        <v>5</v>
      </c>
      <c r="L698" s="4">
        <v>2394.27</v>
      </c>
      <c r="M698">
        <v>86.96</v>
      </c>
    </row>
    <row r="699" spans="1:13" x14ac:dyDescent="0.25">
      <c r="A699">
        <v>10698</v>
      </c>
      <c r="B699" t="str">
        <f t="shared" si="20"/>
        <v>Sep</v>
      </c>
      <c r="C699">
        <f t="shared" si="21"/>
        <v>9</v>
      </c>
      <c r="D699" t="s">
        <v>499</v>
      </c>
      <c r="E699" t="s">
        <v>849</v>
      </c>
      <c r="F699" t="s">
        <v>13</v>
      </c>
      <c r="G699" t="s">
        <v>32</v>
      </c>
      <c r="H699" t="s">
        <v>33</v>
      </c>
      <c r="I699" t="s">
        <v>16</v>
      </c>
      <c r="J699" t="s">
        <v>51</v>
      </c>
      <c r="K699">
        <v>5</v>
      </c>
      <c r="L699" s="4">
        <v>2885.82</v>
      </c>
      <c r="M699">
        <v>450.08</v>
      </c>
    </row>
    <row r="700" spans="1:13" x14ac:dyDescent="0.25">
      <c r="A700">
        <v>10699</v>
      </c>
      <c r="B700" t="str">
        <f t="shared" si="20"/>
        <v>Jan</v>
      </c>
      <c r="C700">
        <f t="shared" si="21"/>
        <v>1</v>
      </c>
      <c r="D700" t="s">
        <v>768</v>
      </c>
      <c r="E700" t="s">
        <v>583</v>
      </c>
      <c r="F700" t="s">
        <v>13</v>
      </c>
      <c r="G700" t="s">
        <v>20</v>
      </c>
      <c r="H700" t="s">
        <v>76</v>
      </c>
      <c r="I700" t="s">
        <v>22</v>
      </c>
      <c r="J700" t="s">
        <v>34</v>
      </c>
      <c r="K700">
        <v>5</v>
      </c>
      <c r="L700" s="4">
        <v>1841.74</v>
      </c>
      <c r="M700">
        <v>284.83999999999997</v>
      </c>
    </row>
    <row r="701" spans="1:13" x14ac:dyDescent="0.25">
      <c r="A701">
        <v>10700</v>
      </c>
      <c r="B701" t="str">
        <f t="shared" si="20"/>
        <v>Oct</v>
      </c>
      <c r="C701">
        <f t="shared" si="21"/>
        <v>10</v>
      </c>
      <c r="D701" t="s">
        <v>850</v>
      </c>
      <c r="E701" t="s">
        <v>141</v>
      </c>
      <c r="F701" t="s">
        <v>31</v>
      </c>
      <c r="G701" t="s">
        <v>20</v>
      </c>
      <c r="H701" t="s">
        <v>21</v>
      </c>
      <c r="I701" t="s">
        <v>22</v>
      </c>
      <c r="J701" t="s">
        <v>34</v>
      </c>
      <c r="K701">
        <v>1</v>
      </c>
      <c r="L701" s="4">
        <v>508.12</v>
      </c>
      <c r="M701">
        <v>107.02</v>
      </c>
    </row>
    <row r="702" spans="1:13" x14ac:dyDescent="0.25">
      <c r="A702">
        <v>10701</v>
      </c>
      <c r="B702" t="str">
        <f t="shared" si="20"/>
        <v>Dec</v>
      </c>
      <c r="C702">
        <f t="shared" si="21"/>
        <v>12</v>
      </c>
      <c r="D702" t="s">
        <v>227</v>
      </c>
      <c r="E702" t="s">
        <v>734</v>
      </c>
      <c r="F702" t="s">
        <v>31</v>
      </c>
      <c r="G702" t="s">
        <v>20</v>
      </c>
      <c r="H702" t="s">
        <v>76</v>
      </c>
      <c r="I702" t="s">
        <v>27</v>
      </c>
      <c r="J702" t="s">
        <v>104</v>
      </c>
      <c r="K702">
        <v>4</v>
      </c>
      <c r="L702" s="4">
        <v>1006.93</v>
      </c>
      <c r="M702">
        <v>177.99</v>
      </c>
    </row>
    <row r="703" spans="1:13" x14ac:dyDescent="0.25">
      <c r="A703">
        <v>10702</v>
      </c>
      <c r="B703" t="str">
        <f t="shared" si="20"/>
        <v>Dec</v>
      </c>
      <c r="C703">
        <f t="shared" si="21"/>
        <v>12</v>
      </c>
      <c r="D703" t="s">
        <v>851</v>
      </c>
      <c r="E703" t="s">
        <v>686</v>
      </c>
      <c r="F703" t="s">
        <v>13</v>
      </c>
      <c r="G703" t="s">
        <v>14</v>
      </c>
      <c r="H703" t="s">
        <v>15</v>
      </c>
      <c r="I703" t="s">
        <v>27</v>
      </c>
      <c r="J703" t="s">
        <v>118</v>
      </c>
      <c r="K703">
        <v>1</v>
      </c>
      <c r="L703" s="4">
        <v>941.5</v>
      </c>
      <c r="M703">
        <v>90.2</v>
      </c>
    </row>
    <row r="704" spans="1:13" x14ac:dyDescent="0.25">
      <c r="A704">
        <v>10703</v>
      </c>
      <c r="B704" t="str">
        <f t="shared" si="20"/>
        <v>Apr</v>
      </c>
      <c r="C704">
        <f t="shared" si="21"/>
        <v>4</v>
      </c>
      <c r="D704" t="s">
        <v>393</v>
      </c>
      <c r="E704" t="s">
        <v>852</v>
      </c>
      <c r="F704" t="s">
        <v>26</v>
      </c>
      <c r="G704" t="s">
        <v>20</v>
      </c>
      <c r="H704" t="s">
        <v>76</v>
      </c>
      <c r="I704" t="s">
        <v>16</v>
      </c>
      <c r="J704" t="s">
        <v>17</v>
      </c>
      <c r="K704">
        <v>7</v>
      </c>
      <c r="L704" s="4">
        <v>4042.74</v>
      </c>
      <c r="M704">
        <v>277.2</v>
      </c>
    </row>
    <row r="705" spans="1:13" x14ac:dyDescent="0.25">
      <c r="A705">
        <v>10704</v>
      </c>
      <c r="B705" t="str">
        <f t="shared" si="20"/>
        <v>Oct</v>
      </c>
      <c r="C705">
        <f t="shared" si="21"/>
        <v>10</v>
      </c>
      <c r="D705" t="s">
        <v>114</v>
      </c>
      <c r="E705" t="s">
        <v>853</v>
      </c>
      <c r="F705" t="s">
        <v>26</v>
      </c>
      <c r="G705" t="s">
        <v>46</v>
      </c>
      <c r="H705" t="s">
        <v>71</v>
      </c>
      <c r="I705" t="s">
        <v>22</v>
      </c>
      <c r="J705" t="s">
        <v>34</v>
      </c>
      <c r="K705">
        <v>3</v>
      </c>
      <c r="L705" s="4">
        <v>3283.73</v>
      </c>
      <c r="M705">
        <v>459.33</v>
      </c>
    </row>
    <row r="706" spans="1:13" x14ac:dyDescent="0.25">
      <c r="A706">
        <v>10705</v>
      </c>
      <c r="B706" t="str">
        <f t="shared" ref="B706:B769" si="22">TEXT(D706,"mmm")</f>
        <v>Dec</v>
      </c>
      <c r="C706">
        <f t="shared" ref="C706:C769" si="23">MONTH(D706)</f>
        <v>12</v>
      </c>
      <c r="D706" t="s">
        <v>405</v>
      </c>
      <c r="E706" t="s">
        <v>854</v>
      </c>
      <c r="F706" t="s">
        <v>31</v>
      </c>
      <c r="G706" t="s">
        <v>32</v>
      </c>
      <c r="H706" t="s">
        <v>54</v>
      </c>
      <c r="I706" t="s">
        <v>22</v>
      </c>
      <c r="J706" t="s">
        <v>34</v>
      </c>
      <c r="K706">
        <v>7</v>
      </c>
      <c r="L706" s="4">
        <v>206.9</v>
      </c>
      <c r="M706">
        <v>3.69</v>
      </c>
    </row>
    <row r="707" spans="1:13" x14ac:dyDescent="0.25">
      <c r="A707">
        <v>10706</v>
      </c>
      <c r="B707" t="str">
        <f t="shared" si="22"/>
        <v>Jun</v>
      </c>
      <c r="C707">
        <f t="shared" si="23"/>
        <v>6</v>
      </c>
      <c r="D707" t="s">
        <v>301</v>
      </c>
      <c r="E707" t="s">
        <v>855</v>
      </c>
      <c r="F707" t="s">
        <v>26</v>
      </c>
      <c r="G707" t="s">
        <v>20</v>
      </c>
      <c r="H707" t="s">
        <v>21</v>
      </c>
      <c r="I707" t="s">
        <v>27</v>
      </c>
      <c r="J707" t="s">
        <v>104</v>
      </c>
      <c r="K707">
        <v>4</v>
      </c>
      <c r="L707" s="4">
        <v>1544.67</v>
      </c>
      <c r="M707">
        <v>358.37</v>
      </c>
    </row>
    <row r="708" spans="1:13" x14ac:dyDescent="0.25">
      <c r="A708">
        <v>10707</v>
      </c>
      <c r="B708" t="str">
        <f t="shared" si="22"/>
        <v>Nov</v>
      </c>
      <c r="C708">
        <f t="shared" si="23"/>
        <v>11</v>
      </c>
      <c r="D708" t="s">
        <v>514</v>
      </c>
      <c r="E708" t="s">
        <v>770</v>
      </c>
      <c r="F708" t="s">
        <v>31</v>
      </c>
      <c r="G708" t="s">
        <v>20</v>
      </c>
      <c r="H708" t="s">
        <v>76</v>
      </c>
      <c r="I708" t="s">
        <v>27</v>
      </c>
      <c r="J708" t="s">
        <v>28</v>
      </c>
      <c r="K708">
        <v>1</v>
      </c>
      <c r="L708" s="4">
        <v>2488.73</v>
      </c>
      <c r="M708">
        <v>367.78</v>
      </c>
    </row>
    <row r="709" spans="1:13" x14ac:dyDescent="0.25">
      <c r="A709">
        <v>10708</v>
      </c>
      <c r="B709" t="str">
        <f t="shared" si="22"/>
        <v>Nov</v>
      </c>
      <c r="C709">
        <f t="shared" si="23"/>
        <v>11</v>
      </c>
      <c r="D709" t="s">
        <v>612</v>
      </c>
      <c r="E709" t="s">
        <v>595</v>
      </c>
      <c r="F709" t="s">
        <v>31</v>
      </c>
      <c r="G709" t="s">
        <v>46</v>
      </c>
      <c r="H709" t="s">
        <v>71</v>
      </c>
      <c r="I709" t="s">
        <v>16</v>
      </c>
      <c r="J709" t="s">
        <v>81</v>
      </c>
      <c r="K709">
        <v>7</v>
      </c>
      <c r="L709" s="4">
        <v>2924.38</v>
      </c>
      <c r="M709">
        <v>523.91999999999996</v>
      </c>
    </row>
    <row r="710" spans="1:13" x14ac:dyDescent="0.25">
      <c r="A710">
        <v>10709</v>
      </c>
      <c r="B710" t="str">
        <f t="shared" si="22"/>
        <v>Apr</v>
      </c>
      <c r="C710">
        <f t="shared" si="23"/>
        <v>4</v>
      </c>
      <c r="D710" t="s">
        <v>403</v>
      </c>
      <c r="E710" t="s">
        <v>271</v>
      </c>
      <c r="F710" t="s">
        <v>31</v>
      </c>
      <c r="G710" t="s">
        <v>14</v>
      </c>
      <c r="H710" t="s">
        <v>37</v>
      </c>
      <c r="I710" t="s">
        <v>16</v>
      </c>
      <c r="J710" t="s">
        <v>17</v>
      </c>
      <c r="K710">
        <v>8</v>
      </c>
      <c r="L710" s="4">
        <v>3517.82</v>
      </c>
      <c r="M710">
        <v>165.39</v>
      </c>
    </row>
    <row r="711" spans="1:13" x14ac:dyDescent="0.25">
      <c r="A711">
        <v>10710</v>
      </c>
      <c r="B711" t="str">
        <f t="shared" si="22"/>
        <v>Aug</v>
      </c>
      <c r="C711">
        <f t="shared" si="23"/>
        <v>8</v>
      </c>
      <c r="D711" t="s">
        <v>55</v>
      </c>
      <c r="E711" t="s">
        <v>699</v>
      </c>
      <c r="F711" t="s">
        <v>31</v>
      </c>
      <c r="G711" t="s">
        <v>20</v>
      </c>
      <c r="H711" t="s">
        <v>21</v>
      </c>
      <c r="I711" t="s">
        <v>16</v>
      </c>
      <c r="J711" t="s">
        <v>43</v>
      </c>
      <c r="K711">
        <v>6</v>
      </c>
      <c r="L711" s="4">
        <v>4616.5</v>
      </c>
      <c r="M711">
        <v>1144.3</v>
      </c>
    </row>
    <row r="712" spans="1:13" x14ac:dyDescent="0.25">
      <c r="A712">
        <v>10711</v>
      </c>
      <c r="B712" t="str">
        <f t="shared" si="22"/>
        <v>May</v>
      </c>
      <c r="C712">
        <f t="shared" si="23"/>
        <v>5</v>
      </c>
      <c r="D712" t="s">
        <v>276</v>
      </c>
      <c r="E712" t="s">
        <v>160</v>
      </c>
      <c r="F712" t="s">
        <v>13</v>
      </c>
      <c r="G712" t="s">
        <v>20</v>
      </c>
      <c r="H712" t="s">
        <v>76</v>
      </c>
      <c r="I712" t="s">
        <v>16</v>
      </c>
      <c r="J712" t="s">
        <v>17</v>
      </c>
      <c r="K712">
        <v>8</v>
      </c>
      <c r="L712" s="4">
        <v>4018.8</v>
      </c>
      <c r="M712">
        <v>987.26</v>
      </c>
    </row>
    <row r="713" spans="1:13" x14ac:dyDescent="0.25">
      <c r="A713">
        <v>10712</v>
      </c>
      <c r="B713" t="str">
        <f t="shared" si="22"/>
        <v>Sep</v>
      </c>
      <c r="C713">
        <f t="shared" si="23"/>
        <v>9</v>
      </c>
      <c r="D713" t="s">
        <v>181</v>
      </c>
      <c r="E713" t="s">
        <v>801</v>
      </c>
      <c r="F713" t="s">
        <v>26</v>
      </c>
      <c r="G713" t="s">
        <v>14</v>
      </c>
      <c r="H713" t="s">
        <v>37</v>
      </c>
      <c r="I713" t="s">
        <v>22</v>
      </c>
      <c r="J713" t="s">
        <v>48</v>
      </c>
      <c r="K713">
        <v>4</v>
      </c>
      <c r="L713" s="4">
        <v>865.94</v>
      </c>
      <c r="M713">
        <v>70.5</v>
      </c>
    </row>
    <row r="714" spans="1:13" x14ac:dyDescent="0.25">
      <c r="A714">
        <v>10713</v>
      </c>
      <c r="B714" t="str">
        <f t="shared" si="22"/>
        <v>Sep</v>
      </c>
      <c r="C714">
        <f t="shared" si="23"/>
        <v>9</v>
      </c>
      <c r="D714" t="s">
        <v>328</v>
      </c>
      <c r="E714" t="s">
        <v>780</v>
      </c>
      <c r="F714" t="s">
        <v>26</v>
      </c>
      <c r="G714" t="s">
        <v>46</v>
      </c>
      <c r="H714" t="s">
        <v>71</v>
      </c>
      <c r="I714" t="s">
        <v>22</v>
      </c>
      <c r="J714" t="s">
        <v>38</v>
      </c>
      <c r="K714">
        <v>5</v>
      </c>
      <c r="L714" s="4">
        <v>1849.51</v>
      </c>
      <c r="M714">
        <v>83.02</v>
      </c>
    </row>
    <row r="715" spans="1:13" x14ac:dyDescent="0.25">
      <c r="A715">
        <v>10714</v>
      </c>
      <c r="B715" t="str">
        <f t="shared" si="22"/>
        <v>Jul</v>
      </c>
      <c r="C715">
        <f t="shared" si="23"/>
        <v>7</v>
      </c>
      <c r="D715" t="s">
        <v>39</v>
      </c>
      <c r="E715" t="s">
        <v>412</v>
      </c>
      <c r="F715" t="s">
        <v>26</v>
      </c>
      <c r="G715" t="s">
        <v>32</v>
      </c>
      <c r="H715" t="s">
        <v>54</v>
      </c>
      <c r="I715" t="s">
        <v>22</v>
      </c>
      <c r="J715" t="s">
        <v>48</v>
      </c>
      <c r="K715">
        <v>2</v>
      </c>
      <c r="L715" s="4">
        <v>2853.71</v>
      </c>
      <c r="M715">
        <v>390.31</v>
      </c>
    </row>
    <row r="716" spans="1:13" x14ac:dyDescent="0.25">
      <c r="A716">
        <v>10715</v>
      </c>
      <c r="B716" t="str">
        <f t="shared" si="22"/>
        <v>Feb</v>
      </c>
      <c r="C716">
        <f t="shared" si="23"/>
        <v>2</v>
      </c>
      <c r="D716" t="s">
        <v>671</v>
      </c>
      <c r="E716" t="s">
        <v>734</v>
      </c>
      <c r="F716" t="s">
        <v>13</v>
      </c>
      <c r="G716" t="s">
        <v>32</v>
      </c>
      <c r="H716" t="s">
        <v>33</v>
      </c>
      <c r="I716" t="s">
        <v>16</v>
      </c>
      <c r="J716" t="s">
        <v>81</v>
      </c>
      <c r="K716">
        <v>1</v>
      </c>
      <c r="L716" s="4">
        <v>4640.5</v>
      </c>
      <c r="M716">
        <v>694.25</v>
      </c>
    </row>
    <row r="717" spans="1:13" x14ac:dyDescent="0.25">
      <c r="A717">
        <v>10716</v>
      </c>
      <c r="B717" t="str">
        <f t="shared" si="22"/>
        <v>Mar</v>
      </c>
      <c r="C717">
        <f t="shared" si="23"/>
        <v>3</v>
      </c>
      <c r="D717" t="s">
        <v>319</v>
      </c>
      <c r="E717" t="s">
        <v>856</v>
      </c>
      <c r="F717" t="s">
        <v>31</v>
      </c>
      <c r="G717" t="s">
        <v>14</v>
      </c>
      <c r="H717" t="s">
        <v>15</v>
      </c>
      <c r="I717" t="s">
        <v>16</v>
      </c>
      <c r="J717" t="s">
        <v>81</v>
      </c>
      <c r="K717">
        <v>3</v>
      </c>
      <c r="L717" s="4">
        <v>3186.64</v>
      </c>
      <c r="M717">
        <v>762.02</v>
      </c>
    </row>
    <row r="718" spans="1:13" x14ac:dyDescent="0.25">
      <c r="A718">
        <v>10717</v>
      </c>
      <c r="B718" t="str">
        <f t="shared" si="22"/>
        <v>Apr</v>
      </c>
      <c r="C718">
        <f t="shared" si="23"/>
        <v>4</v>
      </c>
      <c r="D718" t="s">
        <v>709</v>
      </c>
      <c r="E718" t="s">
        <v>857</v>
      </c>
      <c r="F718" t="s">
        <v>31</v>
      </c>
      <c r="G718" t="s">
        <v>20</v>
      </c>
      <c r="H718" t="s">
        <v>76</v>
      </c>
      <c r="I718" t="s">
        <v>16</v>
      </c>
      <c r="J718" t="s">
        <v>81</v>
      </c>
      <c r="K718">
        <v>3</v>
      </c>
      <c r="L718" s="4">
        <v>3270.76</v>
      </c>
      <c r="M718">
        <v>423.37</v>
      </c>
    </row>
    <row r="719" spans="1:13" x14ac:dyDescent="0.25">
      <c r="A719">
        <v>10718</v>
      </c>
      <c r="B719" t="str">
        <f t="shared" si="22"/>
        <v>Aug</v>
      </c>
      <c r="C719">
        <f t="shared" si="23"/>
        <v>8</v>
      </c>
      <c r="D719" t="s">
        <v>858</v>
      </c>
      <c r="E719" t="s">
        <v>859</v>
      </c>
      <c r="F719" t="s">
        <v>13</v>
      </c>
      <c r="G719" t="s">
        <v>14</v>
      </c>
      <c r="H719" t="s">
        <v>15</v>
      </c>
      <c r="I719" t="s">
        <v>27</v>
      </c>
      <c r="J719" t="s">
        <v>28</v>
      </c>
      <c r="K719">
        <v>5</v>
      </c>
      <c r="L719" s="4">
        <v>2574.61</v>
      </c>
      <c r="M719">
        <v>146.35</v>
      </c>
    </row>
    <row r="720" spans="1:13" x14ac:dyDescent="0.25">
      <c r="A720">
        <v>10719</v>
      </c>
      <c r="B720" t="str">
        <f t="shared" si="22"/>
        <v>Aug</v>
      </c>
      <c r="C720">
        <f t="shared" si="23"/>
        <v>8</v>
      </c>
      <c r="D720" t="s">
        <v>296</v>
      </c>
      <c r="E720" t="s">
        <v>746</v>
      </c>
      <c r="F720" t="s">
        <v>13</v>
      </c>
      <c r="G720" t="s">
        <v>46</v>
      </c>
      <c r="H720" t="s">
        <v>71</v>
      </c>
      <c r="I720" t="s">
        <v>16</v>
      </c>
      <c r="J720" t="s">
        <v>51</v>
      </c>
      <c r="K720">
        <v>4</v>
      </c>
      <c r="L720" s="4">
        <v>776.17</v>
      </c>
      <c r="M720">
        <v>30.22</v>
      </c>
    </row>
    <row r="721" spans="1:13" x14ac:dyDescent="0.25">
      <c r="A721">
        <v>10720</v>
      </c>
      <c r="B721" t="str">
        <f t="shared" si="22"/>
        <v>Jun</v>
      </c>
      <c r="C721">
        <f t="shared" si="23"/>
        <v>6</v>
      </c>
      <c r="D721" t="s">
        <v>860</v>
      </c>
      <c r="E721" t="s">
        <v>471</v>
      </c>
      <c r="F721" t="s">
        <v>31</v>
      </c>
      <c r="G721" t="s">
        <v>32</v>
      </c>
      <c r="H721" t="s">
        <v>33</v>
      </c>
      <c r="I721" t="s">
        <v>27</v>
      </c>
      <c r="J721" t="s">
        <v>104</v>
      </c>
      <c r="K721">
        <v>1</v>
      </c>
      <c r="L721" s="4">
        <v>3616.37</v>
      </c>
      <c r="M721">
        <v>641.59</v>
      </c>
    </row>
    <row r="722" spans="1:13" x14ac:dyDescent="0.25">
      <c r="A722">
        <v>10721</v>
      </c>
      <c r="B722" t="str">
        <f t="shared" si="22"/>
        <v>Jan</v>
      </c>
      <c r="C722">
        <f t="shared" si="23"/>
        <v>1</v>
      </c>
      <c r="D722" t="s">
        <v>61</v>
      </c>
      <c r="E722" t="s">
        <v>861</v>
      </c>
      <c r="F722" t="s">
        <v>13</v>
      </c>
      <c r="G722" t="s">
        <v>46</v>
      </c>
      <c r="H722" t="s">
        <v>47</v>
      </c>
      <c r="I722" t="s">
        <v>22</v>
      </c>
      <c r="J722" t="s">
        <v>34</v>
      </c>
      <c r="K722">
        <v>1</v>
      </c>
      <c r="L722" s="4">
        <v>3334.86</v>
      </c>
      <c r="M722">
        <v>611.29</v>
      </c>
    </row>
    <row r="723" spans="1:13" x14ac:dyDescent="0.25">
      <c r="A723">
        <v>10722</v>
      </c>
      <c r="B723" t="str">
        <f t="shared" si="22"/>
        <v>Sep</v>
      </c>
      <c r="C723">
        <f t="shared" si="23"/>
        <v>9</v>
      </c>
      <c r="D723" t="s">
        <v>286</v>
      </c>
      <c r="E723" t="s">
        <v>125</v>
      </c>
      <c r="F723" t="s">
        <v>26</v>
      </c>
      <c r="G723" t="s">
        <v>32</v>
      </c>
      <c r="H723" t="s">
        <v>54</v>
      </c>
      <c r="I723" t="s">
        <v>27</v>
      </c>
      <c r="J723" t="s">
        <v>28</v>
      </c>
      <c r="K723">
        <v>6</v>
      </c>
      <c r="L723" s="4">
        <v>4555.2299999999996</v>
      </c>
      <c r="M723">
        <v>208.78</v>
      </c>
    </row>
    <row r="724" spans="1:13" x14ac:dyDescent="0.25">
      <c r="A724">
        <v>10723</v>
      </c>
      <c r="B724" t="str">
        <f t="shared" si="22"/>
        <v>Jul</v>
      </c>
      <c r="C724">
        <f t="shared" si="23"/>
        <v>7</v>
      </c>
      <c r="D724" t="s">
        <v>140</v>
      </c>
      <c r="E724" t="s">
        <v>453</v>
      </c>
      <c r="F724" t="s">
        <v>26</v>
      </c>
      <c r="G724" t="s">
        <v>20</v>
      </c>
      <c r="H724" t="s">
        <v>76</v>
      </c>
      <c r="I724" t="s">
        <v>16</v>
      </c>
      <c r="J724" t="s">
        <v>43</v>
      </c>
      <c r="K724">
        <v>8</v>
      </c>
      <c r="L724" s="4">
        <v>3517.61</v>
      </c>
      <c r="M724">
        <v>878.35</v>
      </c>
    </row>
    <row r="725" spans="1:13" x14ac:dyDescent="0.25">
      <c r="A725">
        <v>10724</v>
      </c>
      <c r="B725" t="str">
        <f t="shared" si="22"/>
        <v>Oct</v>
      </c>
      <c r="C725">
        <f t="shared" si="23"/>
        <v>10</v>
      </c>
      <c r="D725" t="s">
        <v>410</v>
      </c>
      <c r="E725" t="s">
        <v>775</v>
      </c>
      <c r="F725" t="s">
        <v>26</v>
      </c>
      <c r="G725" t="s">
        <v>32</v>
      </c>
      <c r="H725" t="s">
        <v>33</v>
      </c>
      <c r="I725" t="s">
        <v>22</v>
      </c>
      <c r="J725" t="s">
        <v>38</v>
      </c>
      <c r="K725">
        <v>7</v>
      </c>
      <c r="L725" s="4">
        <v>3652.98</v>
      </c>
      <c r="M725">
        <v>845.9</v>
      </c>
    </row>
    <row r="726" spans="1:13" x14ac:dyDescent="0.25">
      <c r="A726">
        <v>10725</v>
      </c>
      <c r="B726" t="str">
        <f t="shared" si="22"/>
        <v>May</v>
      </c>
      <c r="C726">
        <f t="shared" si="23"/>
        <v>5</v>
      </c>
      <c r="D726" t="s">
        <v>130</v>
      </c>
      <c r="E726" t="s">
        <v>335</v>
      </c>
      <c r="F726" t="s">
        <v>31</v>
      </c>
      <c r="G726" t="s">
        <v>14</v>
      </c>
      <c r="H726" t="s">
        <v>37</v>
      </c>
      <c r="I726" t="s">
        <v>16</v>
      </c>
      <c r="J726" t="s">
        <v>17</v>
      </c>
      <c r="K726">
        <v>3</v>
      </c>
      <c r="L726" s="4">
        <v>214.77</v>
      </c>
      <c r="M726">
        <v>4.55</v>
      </c>
    </row>
    <row r="727" spans="1:13" x14ac:dyDescent="0.25">
      <c r="A727">
        <v>10726</v>
      </c>
      <c r="B727" t="str">
        <f t="shared" si="22"/>
        <v>Nov</v>
      </c>
      <c r="C727">
        <f t="shared" si="23"/>
        <v>11</v>
      </c>
      <c r="D727" t="s">
        <v>146</v>
      </c>
      <c r="E727" t="s">
        <v>804</v>
      </c>
      <c r="F727" t="s">
        <v>31</v>
      </c>
      <c r="G727" t="s">
        <v>20</v>
      </c>
      <c r="H727" t="s">
        <v>21</v>
      </c>
      <c r="I727" t="s">
        <v>16</v>
      </c>
      <c r="J727" t="s">
        <v>81</v>
      </c>
      <c r="K727">
        <v>6</v>
      </c>
      <c r="L727" s="4">
        <v>1372.81</v>
      </c>
      <c r="M727">
        <v>230.43</v>
      </c>
    </row>
    <row r="728" spans="1:13" x14ac:dyDescent="0.25">
      <c r="A728">
        <v>10727</v>
      </c>
      <c r="B728" t="str">
        <f t="shared" si="22"/>
        <v>Nov</v>
      </c>
      <c r="C728">
        <f t="shared" si="23"/>
        <v>11</v>
      </c>
      <c r="D728" t="s">
        <v>862</v>
      </c>
      <c r="E728" t="s">
        <v>684</v>
      </c>
      <c r="F728" t="s">
        <v>13</v>
      </c>
      <c r="G728" t="s">
        <v>32</v>
      </c>
      <c r="H728" t="s">
        <v>33</v>
      </c>
      <c r="I728" t="s">
        <v>27</v>
      </c>
      <c r="J728" t="s">
        <v>28</v>
      </c>
      <c r="K728">
        <v>4</v>
      </c>
      <c r="L728" s="4">
        <v>4046.4</v>
      </c>
      <c r="M728">
        <v>1146.23</v>
      </c>
    </row>
    <row r="729" spans="1:13" x14ac:dyDescent="0.25">
      <c r="A729">
        <v>10728</v>
      </c>
      <c r="B729" t="str">
        <f t="shared" si="22"/>
        <v>Jun</v>
      </c>
      <c r="C729">
        <f t="shared" si="23"/>
        <v>6</v>
      </c>
      <c r="D729" t="s">
        <v>497</v>
      </c>
      <c r="E729" t="s">
        <v>438</v>
      </c>
      <c r="F729" t="s">
        <v>13</v>
      </c>
      <c r="G729" t="s">
        <v>46</v>
      </c>
      <c r="H729" t="s">
        <v>47</v>
      </c>
      <c r="I729" t="s">
        <v>27</v>
      </c>
      <c r="J729" t="s">
        <v>28</v>
      </c>
      <c r="K729">
        <v>3</v>
      </c>
      <c r="L729" s="4">
        <v>3600.32</v>
      </c>
      <c r="M729">
        <v>622.99</v>
      </c>
    </row>
    <row r="730" spans="1:13" x14ac:dyDescent="0.25">
      <c r="A730">
        <v>10729</v>
      </c>
      <c r="B730" t="str">
        <f t="shared" si="22"/>
        <v>Feb</v>
      </c>
      <c r="C730">
        <f t="shared" si="23"/>
        <v>2</v>
      </c>
      <c r="D730" t="s">
        <v>863</v>
      </c>
      <c r="E730" t="s">
        <v>864</v>
      </c>
      <c r="F730" t="s">
        <v>26</v>
      </c>
      <c r="G730" t="s">
        <v>46</v>
      </c>
      <c r="H730" t="s">
        <v>47</v>
      </c>
      <c r="I730" t="s">
        <v>27</v>
      </c>
      <c r="J730" t="s">
        <v>118</v>
      </c>
      <c r="K730">
        <v>3</v>
      </c>
      <c r="L730" s="4">
        <v>3587.04</v>
      </c>
      <c r="M730">
        <v>914.07</v>
      </c>
    </row>
    <row r="731" spans="1:13" x14ac:dyDescent="0.25">
      <c r="A731">
        <v>10730</v>
      </c>
      <c r="B731" t="str">
        <f t="shared" si="22"/>
        <v>Jul</v>
      </c>
      <c r="C731">
        <f t="shared" si="23"/>
        <v>7</v>
      </c>
      <c r="D731" t="s">
        <v>677</v>
      </c>
      <c r="E731" t="s">
        <v>730</v>
      </c>
      <c r="F731" t="s">
        <v>31</v>
      </c>
      <c r="G731" t="s">
        <v>20</v>
      </c>
      <c r="H731" t="s">
        <v>21</v>
      </c>
      <c r="I731" t="s">
        <v>27</v>
      </c>
      <c r="J731" t="s">
        <v>118</v>
      </c>
      <c r="K731">
        <v>6</v>
      </c>
      <c r="L731" s="4">
        <v>3416.43</v>
      </c>
      <c r="M731">
        <v>458.92</v>
      </c>
    </row>
    <row r="732" spans="1:13" x14ac:dyDescent="0.25">
      <c r="A732">
        <v>10731</v>
      </c>
      <c r="B732" t="str">
        <f t="shared" si="22"/>
        <v>Dec</v>
      </c>
      <c r="C732">
        <f t="shared" si="23"/>
        <v>12</v>
      </c>
      <c r="D732" t="s">
        <v>415</v>
      </c>
      <c r="E732" t="s">
        <v>790</v>
      </c>
      <c r="F732" t="s">
        <v>26</v>
      </c>
      <c r="G732" t="s">
        <v>20</v>
      </c>
      <c r="H732" t="s">
        <v>76</v>
      </c>
      <c r="I732" t="s">
        <v>27</v>
      </c>
      <c r="J732" t="s">
        <v>77</v>
      </c>
      <c r="K732">
        <v>7</v>
      </c>
      <c r="L732" s="4">
        <v>4136.68</v>
      </c>
      <c r="M732">
        <v>343.4</v>
      </c>
    </row>
    <row r="733" spans="1:13" x14ac:dyDescent="0.25">
      <c r="A733">
        <v>10732</v>
      </c>
      <c r="B733" t="str">
        <f t="shared" si="22"/>
        <v>Mar</v>
      </c>
      <c r="C733">
        <f t="shared" si="23"/>
        <v>3</v>
      </c>
      <c r="D733" t="s">
        <v>452</v>
      </c>
      <c r="E733" t="s">
        <v>594</v>
      </c>
      <c r="F733" t="s">
        <v>31</v>
      </c>
      <c r="G733" t="s">
        <v>14</v>
      </c>
      <c r="H733" t="s">
        <v>15</v>
      </c>
      <c r="I733" t="s">
        <v>27</v>
      </c>
      <c r="J733" t="s">
        <v>77</v>
      </c>
      <c r="K733">
        <v>1</v>
      </c>
      <c r="L733" s="4">
        <v>3757.83</v>
      </c>
      <c r="M733">
        <v>1037.8699999999999</v>
      </c>
    </row>
    <row r="734" spans="1:13" x14ac:dyDescent="0.25">
      <c r="A734">
        <v>10733</v>
      </c>
      <c r="B734" t="str">
        <f t="shared" si="22"/>
        <v>Jul</v>
      </c>
      <c r="C734">
        <f t="shared" si="23"/>
        <v>7</v>
      </c>
      <c r="D734" t="s">
        <v>211</v>
      </c>
      <c r="E734" t="s">
        <v>801</v>
      </c>
      <c r="F734" t="s">
        <v>31</v>
      </c>
      <c r="G734" t="s">
        <v>14</v>
      </c>
      <c r="H734" t="s">
        <v>15</v>
      </c>
      <c r="I734" t="s">
        <v>27</v>
      </c>
      <c r="J734" t="s">
        <v>28</v>
      </c>
      <c r="K734">
        <v>1</v>
      </c>
      <c r="L734" s="4">
        <v>2661.61</v>
      </c>
      <c r="M734">
        <v>180.93</v>
      </c>
    </row>
    <row r="735" spans="1:13" x14ac:dyDescent="0.25">
      <c r="A735">
        <v>10734</v>
      </c>
      <c r="B735" t="str">
        <f t="shared" si="22"/>
        <v>Apr</v>
      </c>
      <c r="C735">
        <f t="shared" si="23"/>
        <v>4</v>
      </c>
      <c r="D735" t="s">
        <v>865</v>
      </c>
      <c r="E735" t="s">
        <v>866</v>
      </c>
      <c r="F735" t="s">
        <v>13</v>
      </c>
      <c r="G735" t="s">
        <v>20</v>
      </c>
      <c r="H735" t="s">
        <v>21</v>
      </c>
      <c r="I735" t="s">
        <v>22</v>
      </c>
      <c r="J735" t="s">
        <v>48</v>
      </c>
      <c r="K735">
        <v>7</v>
      </c>
      <c r="L735" s="4">
        <v>338.39</v>
      </c>
      <c r="M735">
        <v>3.67</v>
      </c>
    </row>
    <row r="736" spans="1:13" x14ac:dyDescent="0.25">
      <c r="A736">
        <v>10735</v>
      </c>
      <c r="B736" t="str">
        <f t="shared" si="22"/>
        <v>Oct</v>
      </c>
      <c r="C736">
        <f t="shared" si="23"/>
        <v>10</v>
      </c>
      <c r="D736" t="s">
        <v>449</v>
      </c>
      <c r="E736" t="s">
        <v>867</v>
      </c>
      <c r="F736" t="s">
        <v>31</v>
      </c>
      <c r="G736" t="s">
        <v>20</v>
      </c>
      <c r="H736" t="s">
        <v>21</v>
      </c>
      <c r="I736" t="s">
        <v>22</v>
      </c>
      <c r="J736" t="s">
        <v>38</v>
      </c>
      <c r="K736">
        <v>2</v>
      </c>
      <c r="L736" s="4">
        <v>4365.09</v>
      </c>
      <c r="M736">
        <v>616.64</v>
      </c>
    </row>
    <row r="737" spans="1:13" x14ac:dyDescent="0.25">
      <c r="A737">
        <v>10736</v>
      </c>
      <c r="B737" t="str">
        <f t="shared" si="22"/>
        <v>Aug</v>
      </c>
      <c r="C737">
        <f t="shared" si="23"/>
        <v>8</v>
      </c>
      <c r="D737" t="s">
        <v>868</v>
      </c>
      <c r="E737" t="s">
        <v>848</v>
      </c>
      <c r="F737" t="s">
        <v>13</v>
      </c>
      <c r="G737" t="s">
        <v>20</v>
      </c>
      <c r="H737" t="s">
        <v>76</v>
      </c>
      <c r="I737" t="s">
        <v>16</v>
      </c>
      <c r="J737" t="s">
        <v>43</v>
      </c>
      <c r="K737">
        <v>3</v>
      </c>
      <c r="L737" s="4">
        <v>2573.34</v>
      </c>
      <c r="M737">
        <v>380.21</v>
      </c>
    </row>
    <row r="738" spans="1:13" x14ac:dyDescent="0.25">
      <c r="A738">
        <v>10737</v>
      </c>
      <c r="B738" t="str">
        <f t="shared" si="22"/>
        <v>Dec</v>
      </c>
      <c r="C738">
        <f t="shared" si="23"/>
        <v>12</v>
      </c>
      <c r="D738" t="s">
        <v>312</v>
      </c>
      <c r="E738" t="s">
        <v>869</v>
      </c>
      <c r="F738" t="s">
        <v>13</v>
      </c>
      <c r="G738" t="s">
        <v>32</v>
      </c>
      <c r="H738" t="s">
        <v>33</v>
      </c>
      <c r="I738" t="s">
        <v>16</v>
      </c>
      <c r="J738" t="s">
        <v>51</v>
      </c>
      <c r="K738">
        <v>7</v>
      </c>
      <c r="L738" s="4">
        <v>1240.83</v>
      </c>
      <c r="M738">
        <v>130.6</v>
      </c>
    </row>
    <row r="739" spans="1:13" x14ac:dyDescent="0.25">
      <c r="A739">
        <v>10738</v>
      </c>
      <c r="B739" t="str">
        <f t="shared" si="22"/>
        <v>Apr</v>
      </c>
      <c r="C739">
        <f t="shared" si="23"/>
        <v>4</v>
      </c>
      <c r="D739" t="s">
        <v>403</v>
      </c>
      <c r="E739" t="s">
        <v>870</v>
      </c>
      <c r="F739" t="s">
        <v>13</v>
      </c>
      <c r="G739" t="s">
        <v>32</v>
      </c>
      <c r="H739" t="s">
        <v>33</v>
      </c>
      <c r="I739" t="s">
        <v>22</v>
      </c>
      <c r="J739" t="s">
        <v>23</v>
      </c>
      <c r="K739">
        <v>5</v>
      </c>
      <c r="L739" s="4">
        <v>2849.12</v>
      </c>
      <c r="M739">
        <v>174.69</v>
      </c>
    </row>
    <row r="740" spans="1:13" x14ac:dyDescent="0.25">
      <c r="A740">
        <v>10739</v>
      </c>
      <c r="B740" t="str">
        <f t="shared" si="22"/>
        <v>May</v>
      </c>
      <c r="C740">
        <f t="shared" si="23"/>
        <v>5</v>
      </c>
      <c r="D740" t="s">
        <v>167</v>
      </c>
      <c r="E740" t="s">
        <v>871</v>
      </c>
      <c r="F740" t="s">
        <v>26</v>
      </c>
      <c r="G740" t="s">
        <v>14</v>
      </c>
      <c r="H740" t="s">
        <v>15</v>
      </c>
      <c r="I740" t="s">
        <v>27</v>
      </c>
      <c r="J740" t="s">
        <v>118</v>
      </c>
      <c r="K740">
        <v>2</v>
      </c>
      <c r="L740" s="4">
        <v>3325.45</v>
      </c>
      <c r="M740">
        <v>512.20000000000005</v>
      </c>
    </row>
    <row r="741" spans="1:13" x14ac:dyDescent="0.25">
      <c r="A741">
        <v>10740</v>
      </c>
      <c r="B741" t="str">
        <f t="shared" si="22"/>
        <v>Jun</v>
      </c>
      <c r="C741">
        <f t="shared" si="23"/>
        <v>6</v>
      </c>
      <c r="D741" t="s">
        <v>157</v>
      </c>
      <c r="E741" t="s">
        <v>872</v>
      </c>
      <c r="F741" t="s">
        <v>26</v>
      </c>
      <c r="G741" t="s">
        <v>46</v>
      </c>
      <c r="H741" t="s">
        <v>47</v>
      </c>
      <c r="I741" t="s">
        <v>22</v>
      </c>
      <c r="J741" t="s">
        <v>38</v>
      </c>
      <c r="K741">
        <v>7</v>
      </c>
      <c r="L741" s="4">
        <v>2985.58</v>
      </c>
      <c r="M741">
        <v>422.73</v>
      </c>
    </row>
    <row r="742" spans="1:13" x14ac:dyDescent="0.25">
      <c r="A742">
        <v>10741</v>
      </c>
      <c r="B742" t="str">
        <f t="shared" si="22"/>
        <v>Mar</v>
      </c>
      <c r="C742">
        <f t="shared" si="23"/>
        <v>3</v>
      </c>
      <c r="D742" t="s">
        <v>873</v>
      </c>
      <c r="E742" t="s">
        <v>874</v>
      </c>
      <c r="F742" t="s">
        <v>26</v>
      </c>
      <c r="G742" t="s">
        <v>20</v>
      </c>
      <c r="H742" t="s">
        <v>21</v>
      </c>
      <c r="I742" t="s">
        <v>16</v>
      </c>
      <c r="J742" t="s">
        <v>17</v>
      </c>
      <c r="K742">
        <v>7</v>
      </c>
      <c r="L742" s="4">
        <v>1360.17</v>
      </c>
      <c r="M742">
        <v>97.06</v>
      </c>
    </row>
    <row r="743" spans="1:13" x14ac:dyDescent="0.25">
      <c r="A743">
        <v>10742</v>
      </c>
      <c r="B743" t="str">
        <f t="shared" si="22"/>
        <v>Jun</v>
      </c>
      <c r="C743">
        <f t="shared" si="23"/>
        <v>6</v>
      </c>
      <c r="D743" t="s">
        <v>843</v>
      </c>
      <c r="E743" t="s">
        <v>254</v>
      </c>
      <c r="F743" t="s">
        <v>26</v>
      </c>
      <c r="G743" t="s">
        <v>46</v>
      </c>
      <c r="H743" t="s">
        <v>47</v>
      </c>
      <c r="I743" t="s">
        <v>22</v>
      </c>
      <c r="J743" t="s">
        <v>48</v>
      </c>
      <c r="K743">
        <v>5</v>
      </c>
      <c r="L743" s="4">
        <v>4765.6099999999997</v>
      </c>
      <c r="M743">
        <v>1040.8900000000001</v>
      </c>
    </row>
    <row r="744" spans="1:13" x14ac:dyDescent="0.25">
      <c r="A744">
        <v>10743</v>
      </c>
      <c r="B744" t="str">
        <f t="shared" si="22"/>
        <v>Mar</v>
      </c>
      <c r="C744">
        <f t="shared" si="23"/>
        <v>3</v>
      </c>
      <c r="D744" t="s">
        <v>163</v>
      </c>
      <c r="E744" t="s">
        <v>465</v>
      </c>
      <c r="F744" t="s">
        <v>26</v>
      </c>
      <c r="G744" t="s">
        <v>14</v>
      </c>
      <c r="H744" t="s">
        <v>37</v>
      </c>
      <c r="I744" t="s">
        <v>27</v>
      </c>
      <c r="J744" t="s">
        <v>118</v>
      </c>
      <c r="K744">
        <v>6</v>
      </c>
      <c r="L744" s="4">
        <v>798.06</v>
      </c>
      <c r="M744">
        <v>192.28</v>
      </c>
    </row>
    <row r="745" spans="1:13" x14ac:dyDescent="0.25">
      <c r="A745">
        <v>10744</v>
      </c>
      <c r="B745" t="str">
        <f t="shared" si="22"/>
        <v>Feb</v>
      </c>
      <c r="C745">
        <f t="shared" si="23"/>
        <v>2</v>
      </c>
      <c r="D745" t="s">
        <v>786</v>
      </c>
      <c r="E745" t="s">
        <v>875</v>
      </c>
      <c r="F745" t="s">
        <v>26</v>
      </c>
      <c r="G745" t="s">
        <v>46</v>
      </c>
      <c r="H745" t="s">
        <v>71</v>
      </c>
      <c r="I745" t="s">
        <v>27</v>
      </c>
      <c r="J745" t="s">
        <v>77</v>
      </c>
      <c r="K745">
        <v>2</v>
      </c>
      <c r="L745" s="4">
        <v>1419.51</v>
      </c>
      <c r="M745">
        <v>128.63</v>
      </c>
    </row>
    <row r="746" spans="1:13" x14ac:dyDescent="0.25">
      <c r="A746">
        <v>10745</v>
      </c>
      <c r="B746" t="str">
        <f t="shared" si="22"/>
        <v>Jun</v>
      </c>
      <c r="C746">
        <f t="shared" si="23"/>
        <v>6</v>
      </c>
      <c r="D746" t="s">
        <v>491</v>
      </c>
      <c r="E746" t="s">
        <v>496</v>
      </c>
      <c r="F746" t="s">
        <v>31</v>
      </c>
      <c r="G746" t="s">
        <v>20</v>
      </c>
      <c r="H746" t="s">
        <v>21</v>
      </c>
      <c r="I746" t="s">
        <v>22</v>
      </c>
      <c r="J746" t="s">
        <v>38</v>
      </c>
      <c r="K746">
        <v>2</v>
      </c>
      <c r="L746" s="4">
        <v>1306.95</v>
      </c>
      <c r="M746">
        <v>168.07</v>
      </c>
    </row>
    <row r="747" spans="1:13" x14ac:dyDescent="0.25">
      <c r="A747">
        <v>10746</v>
      </c>
      <c r="B747" t="str">
        <f t="shared" si="22"/>
        <v>Oct</v>
      </c>
      <c r="C747">
        <f t="shared" si="23"/>
        <v>10</v>
      </c>
      <c r="D747" t="s">
        <v>114</v>
      </c>
      <c r="E747" t="s">
        <v>634</v>
      </c>
      <c r="F747" t="s">
        <v>13</v>
      </c>
      <c r="G747" t="s">
        <v>20</v>
      </c>
      <c r="H747" t="s">
        <v>21</v>
      </c>
      <c r="I747" t="s">
        <v>16</v>
      </c>
      <c r="J747" t="s">
        <v>43</v>
      </c>
      <c r="K747">
        <v>3</v>
      </c>
      <c r="L747" s="4">
        <v>1929.2</v>
      </c>
      <c r="M747">
        <v>493.47</v>
      </c>
    </row>
    <row r="748" spans="1:13" x14ac:dyDescent="0.25">
      <c r="A748">
        <v>10747</v>
      </c>
      <c r="B748" t="str">
        <f t="shared" si="22"/>
        <v>Sep</v>
      </c>
      <c r="C748">
        <f t="shared" si="23"/>
        <v>9</v>
      </c>
      <c r="D748" t="s">
        <v>648</v>
      </c>
      <c r="E748" t="s">
        <v>224</v>
      </c>
      <c r="F748" t="s">
        <v>13</v>
      </c>
      <c r="G748" t="s">
        <v>20</v>
      </c>
      <c r="H748" t="s">
        <v>21</v>
      </c>
      <c r="I748" t="s">
        <v>22</v>
      </c>
      <c r="J748" t="s">
        <v>34</v>
      </c>
      <c r="K748">
        <v>5</v>
      </c>
      <c r="L748" s="4">
        <v>3299.99</v>
      </c>
      <c r="M748">
        <v>297.07</v>
      </c>
    </row>
    <row r="749" spans="1:13" x14ac:dyDescent="0.25">
      <c r="A749">
        <v>10748</v>
      </c>
      <c r="B749" t="str">
        <f t="shared" si="22"/>
        <v>Jun</v>
      </c>
      <c r="C749">
        <f t="shared" si="23"/>
        <v>6</v>
      </c>
      <c r="D749" t="s">
        <v>116</v>
      </c>
      <c r="E749" t="s">
        <v>876</v>
      </c>
      <c r="F749" t="s">
        <v>31</v>
      </c>
      <c r="G749" t="s">
        <v>32</v>
      </c>
      <c r="H749" t="s">
        <v>54</v>
      </c>
      <c r="I749" t="s">
        <v>27</v>
      </c>
      <c r="J749" t="s">
        <v>104</v>
      </c>
      <c r="K749">
        <v>5</v>
      </c>
      <c r="L749" s="4">
        <v>322.88</v>
      </c>
      <c r="M749">
        <v>19.5</v>
      </c>
    </row>
    <row r="750" spans="1:13" x14ac:dyDescent="0.25">
      <c r="A750">
        <v>10749</v>
      </c>
      <c r="B750" t="str">
        <f t="shared" si="22"/>
        <v>Dec</v>
      </c>
      <c r="C750">
        <f t="shared" si="23"/>
        <v>12</v>
      </c>
      <c r="D750" t="s">
        <v>213</v>
      </c>
      <c r="E750" t="s">
        <v>877</v>
      </c>
      <c r="F750" t="s">
        <v>13</v>
      </c>
      <c r="G750" t="s">
        <v>14</v>
      </c>
      <c r="H750" t="s">
        <v>15</v>
      </c>
      <c r="I750" t="s">
        <v>16</v>
      </c>
      <c r="J750" t="s">
        <v>17</v>
      </c>
      <c r="K750">
        <v>7</v>
      </c>
      <c r="L750" s="4">
        <v>1133.17</v>
      </c>
      <c r="M750">
        <v>119.46</v>
      </c>
    </row>
    <row r="751" spans="1:13" x14ac:dyDescent="0.25">
      <c r="A751">
        <v>10750</v>
      </c>
      <c r="B751" t="str">
        <f t="shared" si="22"/>
        <v>Jan</v>
      </c>
      <c r="C751">
        <f t="shared" si="23"/>
        <v>1</v>
      </c>
      <c r="D751" t="s">
        <v>768</v>
      </c>
      <c r="E751" t="s">
        <v>761</v>
      </c>
      <c r="F751" t="s">
        <v>26</v>
      </c>
      <c r="G751" t="s">
        <v>32</v>
      </c>
      <c r="H751" t="s">
        <v>54</v>
      </c>
      <c r="I751" t="s">
        <v>27</v>
      </c>
      <c r="J751" t="s">
        <v>104</v>
      </c>
      <c r="K751">
        <v>6</v>
      </c>
      <c r="L751" s="4">
        <v>1773.99</v>
      </c>
      <c r="M751">
        <v>232.67</v>
      </c>
    </row>
    <row r="752" spans="1:13" x14ac:dyDescent="0.25">
      <c r="A752">
        <v>10751</v>
      </c>
      <c r="B752" t="str">
        <f t="shared" si="22"/>
        <v>Jul</v>
      </c>
      <c r="C752">
        <f t="shared" si="23"/>
        <v>7</v>
      </c>
      <c r="D752" t="s">
        <v>703</v>
      </c>
      <c r="E752" t="s">
        <v>139</v>
      </c>
      <c r="F752" t="s">
        <v>26</v>
      </c>
      <c r="G752" t="s">
        <v>14</v>
      </c>
      <c r="H752" t="s">
        <v>37</v>
      </c>
      <c r="I752" t="s">
        <v>22</v>
      </c>
      <c r="J752" t="s">
        <v>23</v>
      </c>
      <c r="K752">
        <v>3</v>
      </c>
      <c r="L752" s="4">
        <v>2124.5</v>
      </c>
      <c r="M752">
        <v>511.39</v>
      </c>
    </row>
    <row r="753" spans="1:13" x14ac:dyDescent="0.25">
      <c r="A753">
        <v>10752</v>
      </c>
      <c r="B753" t="str">
        <f t="shared" si="22"/>
        <v>Jul</v>
      </c>
      <c r="C753">
        <f t="shared" si="23"/>
        <v>7</v>
      </c>
      <c r="D753" t="s">
        <v>783</v>
      </c>
      <c r="E753" t="s">
        <v>277</v>
      </c>
      <c r="F753" t="s">
        <v>26</v>
      </c>
      <c r="G753" t="s">
        <v>14</v>
      </c>
      <c r="H753" t="s">
        <v>15</v>
      </c>
      <c r="I753" t="s">
        <v>16</v>
      </c>
      <c r="J753" t="s">
        <v>51</v>
      </c>
      <c r="K753">
        <v>2</v>
      </c>
      <c r="L753" s="4">
        <v>1829.67</v>
      </c>
      <c r="M753">
        <v>380.52</v>
      </c>
    </row>
    <row r="754" spans="1:13" x14ac:dyDescent="0.25">
      <c r="A754">
        <v>10753</v>
      </c>
      <c r="B754" t="str">
        <f t="shared" si="22"/>
        <v>May</v>
      </c>
      <c r="C754">
        <f t="shared" si="23"/>
        <v>5</v>
      </c>
      <c r="D754" t="s">
        <v>878</v>
      </c>
      <c r="E754" t="s">
        <v>561</v>
      </c>
      <c r="F754" t="s">
        <v>13</v>
      </c>
      <c r="G754" t="s">
        <v>14</v>
      </c>
      <c r="H754" t="s">
        <v>15</v>
      </c>
      <c r="I754" t="s">
        <v>27</v>
      </c>
      <c r="J754" t="s">
        <v>28</v>
      </c>
      <c r="K754">
        <v>4</v>
      </c>
      <c r="L754" s="4">
        <v>2278.4299999999998</v>
      </c>
      <c r="M754">
        <v>238.12</v>
      </c>
    </row>
    <row r="755" spans="1:13" x14ac:dyDescent="0.25">
      <c r="A755">
        <v>10754</v>
      </c>
      <c r="B755" t="str">
        <f t="shared" si="22"/>
        <v>May</v>
      </c>
      <c r="C755">
        <f t="shared" si="23"/>
        <v>5</v>
      </c>
      <c r="D755" t="s">
        <v>878</v>
      </c>
      <c r="E755" t="s">
        <v>723</v>
      </c>
      <c r="F755" t="s">
        <v>13</v>
      </c>
      <c r="G755" t="s">
        <v>32</v>
      </c>
      <c r="H755" t="s">
        <v>33</v>
      </c>
      <c r="I755" t="s">
        <v>22</v>
      </c>
      <c r="J755" t="s">
        <v>38</v>
      </c>
      <c r="K755">
        <v>4</v>
      </c>
      <c r="L755" s="4">
        <v>1247.8599999999999</v>
      </c>
      <c r="M755">
        <v>180.14</v>
      </c>
    </row>
    <row r="756" spans="1:13" x14ac:dyDescent="0.25">
      <c r="A756">
        <v>10755</v>
      </c>
      <c r="B756" t="str">
        <f t="shared" si="22"/>
        <v>Oct</v>
      </c>
      <c r="C756">
        <f t="shared" si="23"/>
        <v>10</v>
      </c>
      <c r="D756" t="s">
        <v>324</v>
      </c>
      <c r="E756" t="s">
        <v>806</v>
      </c>
      <c r="F756" t="s">
        <v>13</v>
      </c>
      <c r="G756" t="s">
        <v>46</v>
      </c>
      <c r="H756" t="s">
        <v>71</v>
      </c>
      <c r="I756" t="s">
        <v>22</v>
      </c>
      <c r="J756" t="s">
        <v>34</v>
      </c>
      <c r="K756">
        <v>2</v>
      </c>
      <c r="L756" s="4">
        <v>4362.59</v>
      </c>
      <c r="M756">
        <v>789.42</v>
      </c>
    </row>
    <row r="757" spans="1:13" x14ac:dyDescent="0.25">
      <c r="A757">
        <v>10756</v>
      </c>
      <c r="B757" t="str">
        <f t="shared" si="22"/>
        <v>Sep</v>
      </c>
      <c r="C757">
        <f t="shared" si="23"/>
        <v>9</v>
      </c>
      <c r="D757" t="s">
        <v>88</v>
      </c>
      <c r="E757" t="s">
        <v>879</v>
      </c>
      <c r="F757" t="s">
        <v>31</v>
      </c>
      <c r="G757" t="s">
        <v>46</v>
      </c>
      <c r="H757" t="s">
        <v>71</v>
      </c>
      <c r="I757" t="s">
        <v>16</v>
      </c>
      <c r="J757" t="s">
        <v>43</v>
      </c>
      <c r="K757">
        <v>2</v>
      </c>
      <c r="L757" s="4">
        <v>724.41</v>
      </c>
      <c r="M757">
        <v>119.74</v>
      </c>
    </row>
    <row r="758" spans="1:13" x14ac:dyDescent="0.25">
      <c r="A758">
        <v>10757</v>
      </c>
      <c r="B758" t="str">
        <f t="shared" si="22"/>
        <v>Nov</v>
      </c>
      <c r="C758">
        <f t="shared" si="23"/>
        <v>11</v>
      </c>
      <c r="D758" t="s">
        <v>18</v>
      </c>
      <c r="E758" t="s">
        <v>465</v>
      </c>
      <c r="F758" t="s">
        <v>31</v>
      </c>
      <c r="G758" t="s">
        <v>46</v>
      </c>
      <c r="H758" t="s">
        <v>71</v>
      </c>
      <c r="I758" t="s">
        <v>16</v>
      </c>
      <c r="J758" t="s">
        <v>17</v>
      </c>
      <c r="K758">
        <v>8</v>
      </c>
      <c r="L758" s="4">
        <v>109.58</v>
      </c>
      <c r="M758">
        <v>-50.13</v>
      </c>
    </row>
    <row r="759" spans="1:13" x14ac:dyDescent="0.25">
      <c r="A759">
        <v>10758</v>
      </c>
      <c r="B759" t="str">
        <f t="shared" si="22"/>
        <v>Apr</v>
      </c>
      <c r="C759">
        <f t="shared" si="23"/>
        <v>4</v>
      </c>
      <c r="D759" t="s">
        <v>880</v>
      </c>
      <c r="E759" t="s">
        <v>655</v>
      </c>
      <c r="F759" t="s">
        <v>31</v>
      </c>
      <c r="G759" t="s">
        <v>20</v>
      </c>
      <c r="H759" t="s">
        <v>76</v>
      </c>
      <c r="I759" t="s">
        <v>27</v>
      </c>
      <c r="J759" t="s">
        <v>118</v>
      </c>
      <c r="K759">
        <v>8</v>
      </c>
      <c r="L759" s="4">
        <v>2528.3200000000002</v>
      </c>
      <c r="M759">
        <v>449.02</v>
      </c>
    </row>
    <row r="760" spans="1:13" x14ac:dyDescent="0.25">
      <c r="A760">
        <v>10759</v>
      </c>
      <c r="B760" t="str">
        <f t="shared" si="22"/>
        <v>Jan</v>
      </c>
      <c r="C760">
        <f t="shared" si="23"/>
        <v>1</v>
      </c>
      <c r="D760" t="s">
        <v>728</v>
      </c>
      <c r="E760" t="s">
        <v>666</v>
      </c>
      <c r="F760" t="s">
        <v>26</v>
      </c>
      <c r="G760" t="s">
        <v>20</v>
      </c>
      <c r="H760" t="s">
        <v>76</v>
      </c>
      <c r="I760" t="s">
        <v>27</v>
      </c>
      <c r="J760" t="s">
        <v>118</v>
      </c>
      <c r="K760">
        <v>7</v>
      </c>
      <c r="L760" s="4">
        <v>1053.58</v>
      </c>
      <c r="M760">
        <v>17.05</v>
      </c>
    </row>
    <row r="761" spans="1:13" x14ac:dyDescent="0.25">
      <c r="A761">
        <v>10760</v>
      </c>
      <c r="B761" t="str">
        <f t="shared" si="22"/>
        <v>Jan</v>
      </c>
      <c r="C761">
        <f t="shared" si="23"/>
        <v>1</v>
      </c>
      <c r="D761" t="s">
        <v>881</v>
      </c>
      <c r="E761" t="s">
        <v>882</v>
      </c>
      <c r="F761" t="s">
        <v>31</v>
      </c>
      <c r="G761" t="s">
        <v>20</v>
      </c>
      <c r="H761" t="s">
        <v>21</v>
      </c>
      <c r="I761" t="s">
        <v>22</v>
      </c>
      <c r="J761" t="s">
        <v>48</v>
      </c>
      <c r="K761">
        <v>3</v>
      </c>
      <c r="L761" s="4">
        <v>1713.2</v>
      </c>
      <c r="M761">
        <v>50.05</v>
      </c>
    </row>
    <row r="762" spans="1:13" x14ac:dyDescent="0.25">
      <c r="A762">
        <v>10761</v>
      </c>
      <c r="B762" t="str">
        <f t="shared" si="22"/>
        <v>Jun</v>
      </c>
      <c r="C762">
        <f t="shared" si="23"/>
        <v>6</v>
      </c>
      <c r="D762" t="s">
        <v>301</v>
      </c>
      <c r="E762" t="s">
        <v>810</v>
      </c>
      <c r="F762" t="s">
        <v>26</v>
      </c>
      <c r="G762" t="s">
        <v>14</v>
      </c>
      <c r="H762" t="s">
        <v>37</v>
      </c>
      <c r="I762" t="s">
        <v>27</v>
      </c>
      <c r="J762" t="s">
        <v>104</v>
      </c>
      <c r="K762">
        <v>2</v>
      </c>
      <c r="L762" s="4">
        <v>2420.52</v>
      </c>
      <c r="M762">
        <v>617.97</v>
      </c>
    </row>
    <row r="763" spans="1:13" x14ac:dyDescent="0.25">
      <c r="A763">
        <v>10762</v>
      </c>
      <c r="B763" t="str">
        <f t="shared" si="22"/>
        <v>Jun</v>
      </c>
      <c r="C763">
        <f t="shared" si="23"/>
        <v>6</v>
      </c>
      <c r="D763" t="s">
        <v>112</v>
      </c>
      <c r="E763" t="s">
        <v>883</v>
      </c>
      <c r="F763" t="s">
        <v>13</v>
      </c>
      <c r="G763" t="s">
        <v>14</v>
      </c>
      <c r="H763" t="s">
        <v>37</v>
      </c>
      <c r="I763" t="s">
        <v>22</v>
      </c>
      <c r="J763" t="s">
        <v>34</v>
      </c>
      <c r="K763">
        <v>2</v>
      </c>
      <c r="L763" s="4">
        <v>519.12</v>
      </c>
      <c r="M763">
        <v>30.5</v>
      </c>
    </row>
    <row r="764" spans="1:13" x14ac:dyDescent="0.25">
      <c r="A764">
        <v>10763</v>
      </c>
      <c r="B764" t="str">
        <f t="shared" si="22"/>
        <v>Dec</v>
      </c>
      <c r="C764">
        <f t="shared" si="23"/>
        <v>12</v>
      </c>
      <c r="D764" t="s">
        <v>585</v>
      </c>
      <c r="E764" t="s">
        <v>884</v>
      </c>
      <c r="F764" t="s">
        <v>13</v>
      </c>
      <c r="G764" t="s">
        <v>14</v>
      </c>
      <c r="H764" t="s">
        <v>15</v>
      </c>
      <c r="I764" t="s">
        <v>22</v>
      </c>
      <c r="J764" t="s">
        <v>34</v>
      </c>
      <c r="K764">
        <v>1</v>
      </c>
      <c r="L764" s="4">
        <v>1577.21</v>
      </c>
      <c r="M764">
        <v>319.19</v>
      </c>
    </row>
    <row r="765" spans="1:13" x14ac:dyDescent="0.25">
      <c r="A765">
        <v>10764</v>
      </c>
      <c r="B765" t="str">
        <f t="shared" si="22"/>
        <v>Dec</v>
      </c>
      <c r="C765">
        <f t="shared" si="23"/>
        <v>12</v>
      </c>
      <c r="D765" t="s">
        <v>63</v>
      </c>
      <c r="E765" t="s">
        <v>814</v>
      </c>
      <c r="F765" t="s">
        <v>26</v>
      </c>
      <c r="G765" t="s">
        <v>14</v>
      </c>
      <c r="H765" t="s">
        <v>37</v>
      </c>
      <c r="I765" t="s">
        <v>27</v>
      </c>
      <c r="J765" t="s">
        <v>77</v>
      </c>
      <c r="K765">
        <v>2</v>
      </c>
      <c r="L765" s="4">
        <v>3124.78</v>
      </c>
      <c r="M765">
        <v>390.94</v>
      </c>
    </row>
    <row r="766" spans="1:13" x14ac:dyDescent="0.25">
      <c r="A766">
        <v>10765</v>
      </c>
      <c r="B766" t="str">
        <f t="shared" si="22"/>
        <v>Aug</v>
      </c>
      <c r="C766">
        <f t="shared" si="23"/>
        <v>8</v>
      </c>
      <c r="D766" t="s">
        <v>245</v>
      </c>
      <c r="E766" t="s">
        <v>885</v>
      </c>
      <c r="F766" t="s">
        <v>31</v>
      </c>
      <c r="G766" t="s">
        <v>20</v>
      </c>
      <c r="H766" t="s">
        <v>76</v>
      </c>
      <c r="I766" t="s">
        <v>27</v>
      </c>
      <c r="J766" t="s">
        <v>77</v>
      </c>
      <c r="K766">
        <v>2</v>
      </c>
      <c r="L766" s="4">
        <v>1764.12</v>
      </c>
      <c r="M766">
        <v>423.42</v>
      </c>
    </row>
    <row r="767" spans="1:13" x14ac:dyDescent="0.25">
      <c r="A767">
        <v>10766</v>
      </c>
      <c r="B767" t="str">
        <f t="shared" si="22"/>
        <v>Mar</v>
      </c>
      <c r="C767">
        <f t="shared" si="23"/>
        <v>3</v>
      </c>
      <c r="D767" t="s">
        <v>886</v>
      </c>
      <c r="E767" t="s">
        <v>99</v>
      </c>
      <c r="F767" t="s">
        <v>13</v>
      </c>
      <c r="G767" t="s">
        <v>46</v>
      </c>
      <c r="H767" t="s">
        <v>71</v>
      </c>
      <c r="I767" t="s">
        <v>22</v>
      </c>
      <c r="J767" t="s">
        <v>23</v>
      </c>
      <c r="K767">
        <v>2</v>
      </c>
      <c r="L767" s="4">
        <v>3005.14</v>
      </c>
      <c r="M767">
        <v>691.48</v>
      </c>
    </row>
    <row r="768" spans="1:13" x14ac:dyDescent="0.25">
      <c r="A768">
        <v>10767</v>
      </c>
      <c r="B768" t="str">
        <f t="shared" si="22"/>
        <v>Mar</v>
      </c>
      <c r="C768">
        <f t="shared" si="23"/>
        <v>3</v>
      </c>
      <c r="D768" t="s">
        <v>745</v>
      </c>
      <c r="E768" t="s">
        <v>675</v>
      </c>
      <c r="F768" t="s">
        <v>13</v>
      </c>
      <c r="G768" t="s">
        <v>32</v>
      </c>
      <c r="H768" t="s">
        <v>54</v>
      </c>
      <c r="I768" t="s">
        <v>27</v>
      </c>
      <c r="J768" t="s">
        <v>77</v>
      </c>
      <c r="K768">
        <v>8</v>
      </c>
      <c r="L768" s="4">
        <v>1011.02</v>
      </c>
      <c r="M768">
        <v>80.94</v>
      </c>
    </row>
    <row r="769" spans="1:13" x14ac:dyDescent="0.25">
      <c r="A769">
        <v>10768</v>
      </c>
      <c r="B769" t="str">
        <f t="shared" si="22"/>
        <v>Jan</v>
      </c>
      <c r="C769">
        <f t="shared" si="23"/>
        <v>1</v>
      </c>
      <c r="D769" t="s">
        <v>446</v>
      </c>
      <c r="E769" t="s">
        <v>887</v>
      </c>
      <c r="F769" t="s">
        <v>13</v>
      </c>
      <c r="G769" t="s">
        <v>20</v>
      </c>
      <c r="H769" t="s">
        <v>76</v>
      </c>
      <c r="I769" t="s">
        <v>27</v>
      </c>
      <c r="J769" t="s">
        <v>104</v>
      </c>
      <c r="K769">
        <v>3</v>
      </c>
      <c r="L769" s="4">
        <v>2400.67</v>
      </c>
      <c r="M769">
        <v>453.03</v>
      </c>
    </row>
    <row r="770" spans="1:13" x14ac:dyDescent="0.25">
      <c r="A770">
        <v>10769</v>
      </c>
      <c r="B770" t="str">
        <f t="shared" ref="B770:B833" si="24">TEXT(D770,"mmm")</f>
        <v>Apr</v>
      </c>
      <c r="C770">
        <f t="shared" ref="C770:C833" si="25">MONTH(D770)</f>
        <v>4</v>
      </c>
      <c r="D770" t="s">
        <v>709</v>
      </c>
      <c r="E770" t="s">
        <v>888</v>
      </c>
      <c r="F770" t="s">
        <v>26</v>
      </c>
      <c r="G770" t="s">
        <v>46</v>
      </c>
      <c r="H770" t="s">
        <v>71</v>
      </c>
      <c r="I770" t="s">
        <v>22</v>
      </c>
      <c r="J770" t="s">
        <v>23</v>
      </c>
      <c r="K770">
        <v>7</v>
      </c>
      <c r="L770" s="4">
        <v>1784.7</v>
      </c>
      <c r="M770">
        <v>460.87</v>
      </c>
    </row>
    <row r="771" spans="1:13" x14ac:dyDescent="0.25">
      <c r="A771">
        <v>10770</v>
      </c>
      <c r="B771" t="str">
        <f t="shared" si="24"/>
        <v>Jun</v>
      </c>
      <c r="C771">
        <f t="shared" si="25"/>
        <v>6</v>
      </c>
      <c r="D771" t="s">
        <v>132</v>
      </c>
      <c r="E771" t="s">
        <v>120</v>
      </c>
      <c r="F771" t="s">
        <v>31</v>
      </c>
      <c r="G771" t="s">
        <v>32</v>
      </c>
      <c r="H771" t="s">
        <v>33</v>
      </c>
      <c r="I771" t="s">
        <v>16</v>
      </c>
      <c r="J771" t="s">
        <v>51</v>
      </c>
      <c r="K771">
        <v>8</v>
      </c>
      <c r="L771" s="4">
        <v>3038.84</v>
      </c>
      <c r="M771">
        <v>345.68</v>
      </c>
    </row>
    <row r="772" spans="1:13" x14ac:dyDescent="0.25">
      <c r="A772">
        <v>10771</v>
      </c>
      <c r="B772" t="str">
        <f t="shared" si="24"/>
        <v>Jan</v>
      </c>
      <c r="C772">
        <f t="shared" si="25"/>
        <v>1</v>
      </c>
      <c r="D772" t="s">
        <v>82</v>
      </c>
      <c r="E772" t="s">
        <v>889</v>
      </c>
      <c r="F772" t="s">
        <v>26</v>
      </c>
      <c r="G772" t="s">
        <v>20</v>
      </c>
      <c r="H772" t="s">
        <v>76</v>
      </c>
      <c r="I772" t="s">
        <v>22</v>
      </c>
      <c r="J772" t="s">
        <v>23</v>
      </c>
      <c r="K772">
        <v>8</v>
      </c>
      <c r="L772" s="4">
        <v>4392.92</v>
      </c>
      <c r="M772">
        <v>1170.04</v>
      </c>
    </row>
    <row r="773" spans="1:13" x14ac:dyDescent="0.25">
      <c r="A773">
        <v>10772</v>
      </c>
      <c r="B773" t="str">
        <f t="shared" si="24"/>
        <v>Jul</v>
      </c>
      <c r="C773">
        <f t="shared" si="25"/>
        <v>7</v>
      </c>
      <c r="D773" t="s">
        <v>351</v>
      </c>
      <c r="E773" t="s">
        <v>633</v>
      </c>
      <c r="F773" t="s">
        <v>31</v>
      </c>
      <c r="G773" t="s">
        <v>46</v>
      </c>
      <c r="H773" t="s">
        <v>47</v>
      </c>
      <c r="I773" t="s">
        <v>16</v>
      </c>
      <c r="J773" t="s">
        <v>43</v>
      </c>
      <c r="K773">
        <v>4</v>
      </c>
      <c r="L773" s="4">
        <v>2455.66</v>
      </c>
      <c r="M773">
        <v>513.02</v>
      </c>
    </row>
    <row r="774" spans="1:13" x14ac:dyDescent="0.25">
      <c r="A774">
        <v>10773</v>
      </c>
      <c r="B774" t="str">
        <f t="shared" si="24"/>
        <v>Aug</v>
      </c>
      <c r="C774">
        <f t="shared" si="25"/>
        <v>8</v>
      </c>
      <c r="D774" t="s">
        <v>169</v>
      </c>
      <c r="E774" t="s">
        <v>798</v>
      </c>
      <c r="F774" t="s">
        <v>13</v>
      </c>
      <c r="G774" t="s">
        <v>46</v>
      </c>
      <c r="H774" t="s">
        <v>71</v>
      </c>
      <c r="I774" t="s">
        <v>27</v>
      </c>
      <c r="J774" t="s">
        <v>118</v>
      </c>
      <c r="K774">
        <v>2</v>
      </c>
      <c r="L774" s="4">
        <v>1853.64</v>
      </c>
      <c r="M774">
        <v>335.49</v>
      </c>
    </row>
    <row r="775" spans="1:13" x14ac:dyDescent="0.25">
      <c r="A775">
        <v>10774</v>
      </c>
      <c r="B775" t="str">
        <f t="shared" si="24"/>
        <v>Mar</v>
      </c>
      <c r="C775">
        <f t="shared" si="25"/>
        <v>3</v>
      </c>
      <c r="D775" t="s">
        <v>119</v>
      </c>
      <c r="E775" t="s">
        <v>890</v>
      </c>
      <c r="F775" t="s">
        <v>13</v>
      </c>
      <c r="G775" t="s">
        <v>32</v>
      </c>
      <c r="H775" t="s">
        <v>33</v>
      </c>
      <c r="I775" t="s">
        <v>22</v>
      </c>
      <c r="J775" t="s">
        <v>48</v>
      </c>
      <c r="K775">
        <v>4</v>
      </c>
      <c r="L775" s="4">
        <v>1492.09</v>
      </c>
      <c r="M775">
        <v>130.08000000000001</v>
      </c>
    </row>
    <row r="776" spans="1:13" x14ac:dyDescent="0.25">
      <c r="A776">
        <v>10775</v>
      </c>
      <c r="B776" t="str">
        <f t="shared" si="24"/>
        <v>Dec</v>
      </c>
      <c r="C776">
        <f t="shared" si="25"/>
        <v>12</v>
      </c>
      <c r="D776" t="s">
        <v>585</v>
      </c>
      <c r="E776" t="s">
        <v>891</v>
      </c>
      <c r="F776" t="s">
        <v>31</v>
      </c>
      <c r="G776" t="s">
        <v>46</v>
      </c>
      <c r="H776" t="s">
        <v>71</v>
      </c>
      <c r="I776" t="s">
        <v>22</v>
      </c>
      <c r="J776" t="s">
        <v>23</v>
      </c>
      <c r="K776">
        <v>3</v>
      </c>
      <c r="L776" s="4">
        <v>4230.12</v>
      </c>
      <c r="M776">
        <v>1172.45</v>
      </c>
    </row>
    <row r="777" spans="1:13" x14ac:dyDescent="0.25">
      <c r="A777">
        <v>10776</v>
      </c>
      <c r="B777" t="str">
        <f t="shared" si="24"/>
        <v>Sep</v>
      </c>
      <c r="C777">
        <f t="shared" si="25"/>
        <v>9</v>
      </c>
      <c r="D777" t="s">
        <v>283</v>
      </c>
      <c r="E777" t="s">
        <v>724</v>
      </c>
      <c r="F777" t="s">
        <v>13</v>
      </c>
      <c r="G777" t="s">
        <v>14</v>
      </c>
      <c r="H777" t="s">
        <v>37</v>
      </c>
      <c r="I777" t="s">
        <v>22</v>
      </c>
      <c r="J777" t="s">
        <v>38</v>
      </c>
      <c r="K777">
        <v>8</v>
      </c>
      <c r="L777" s="4">
        <v>1276.73</v>
      </c>
      <c r="M777">
        <v>256.12</v>
      </c>
    </row>
    <row r="778" spans="1:13" x14ac:dyDescent="0.25">
      <c r="A778">
        <v>10777</v>
      </c>
      <c r="B778" t="str">
        <f t="shared" si="24"/>
        <v>Jul</v>
      </c>
      <c r="C778">
        <f t="shared" si="25"/>
        <v>7</v>
      </c>
      <c r="D778" t="s">
        <v>211</v>
      </c>
      <c r="E778" t="s">
        <v>498</v>
      </c>
      <c r="F778" t="s">
        <v>13</v>
      </c>
      <c r="G778" t="s">
        <v>20</v>
      </c>
      <c r="H778" t="s">
        <v>21</v>
      </c>
      <c r="I778" t="s">
        <v>22</v>
      </c>
      <c r="J778" t="s">
        <v>48</v>
      </c>
      <c r="K778">
        <v>3</v>
      </c>
      <c r="L778" s="4">
        <v>3995</v>
      </c>
      <c r="M778">
        <v>353.37</v>
      </c>
    </row>
    <row r="779" spans="1:13" x14ac:dyDescent="0.25">
      <c r="A779">
        <v>10778</v>
      </c>
      <c r="B779" t="str">
        <f t="shared" si="24"/>
        <v>May</v>
      </c>
      <c r="C779">
        <f t="shared" si="25"/>
        <v>5</v>
      </c>
      <c r="D779" t="s">
        <v>878</v>
      </c>
      <c r="E779" t="s">
        <v>385</v>
      </c>
      <c r="F779" t="s">
        <v>26</v>
      </c>
      <c r="G779" t="s">
        <v>20</v>
      </c>
      <c r="H779" t="s">
        <v>21</v>
      </c>
      <c r="I779" t="s">
        <v>22</v>
      </c>
      <c r="J779" t="s">
        <v>48</v>
      </c>
      <c r="K779">
        <v>5</v>
      </c>
      <c r="L779" s="4">
        <v>3968.98</v>
      </c>
      <c r="M779">
        <v>518.26</v>
      </c>
    </row>
    <row r="780" spans="1:13" x14ac:dyDescent="0.25">
      <c r="A780">
        <v>10779</v>
      </c>
      <c r="B780" t="str">
        <f t="shared" si="24"/>
        <v>Jul</v>
      </c>
      <c r="C780">
        <f t="shared" si="25"/>
        <v>7</v>
      </c>
      <c r="D780" t="s">
        <v>529</v>
      </c>
      <c r="E780" t="s">
        <v>131</v>
      </c>
      <c r="F780" t="s">
        <v>13</v>
      </c>
      <c r="G780" t="s">
        <v>20</v>
      </c>
      <c r="H780" t="s">
        <v>21</v>
      </c>
      <c r="I780" t="s">
        <v>16</v>
      </c>
      <c r="J780" t="s">
        <v>81</v>
      </c>
      <c r="K780">
        <v>8</v>
      </c>
      <c r="L780" s="4">
        <v>3975.89</v>
      </c>
      <c r="M780">
        <v>793.23</v>
      </c>
    </row>
    <row r="781" spans="1:13" x14ac:dyDescent="0.25">
      <c r="A781">
        <v>10780</v>
      </c>
      <c r="B781" t="str">
        <f t="shared" si="24"/>
        <v>Sep</v>
      </c>
      <c r="C781">
        <f t="shared" si="25"/>
        <v>9</v>
      </c>
      <c r="D781" t="s">
        <v>339</v>
      </c>
      <c r="E781" t="s">
        <v>892</v>
      </c>
      <c r="F781" t="s">
        <v>31</v>
      </c>
      <c r="G781" t="s">
        <v>32</v>
      </c>
      <c r="H781" t="s">
        <v>54</v>
      </c>
      <c r="I781" t="s">
        <v>16</v>
      </c>
      <c r="J781" t="s">
        <v>51</v>
      </c>
      <c r="K781">
        <v>3</v>
      </c>
      <c r="L781" s="4">
        <v>1676.93</v>
      </c>
      <c r="M781">
        <v>171.14</v>
      </c>
    </row>
    <row r="782" spans="1:13" x14ac:dyDescent="0.25">
      <c r="A782">
        <v>10781</v>
      </c>
      <c r="B782" t="str">
        <f t="shared" si="24"/>
        <v>Aug</v>
      </c>
      <c r="C782">
        <f t="shared" si="25"/>
        <v>8</v>
      </c>
      <c r="D782" t="s">
        <v>451</v>
      </c>
      <c r="E782" t="s">
        <v>202</v>
      </c>
      <c r="F782" t="s">
        <v>13</v>
      </c>
      <c r="G782" t="s">
        <v>20</v>
      </c>
      <c r="H782" t="s">
        <v>21</v>
      </c>
      <c r="I782" t="s">
        <v>22</v>
      </c>
      <c r="J782" t="s">
        <v>48</v>
      </c>
      <c r="K782">
        <v>4</v>
      </c>
      <c r="L782" s="4">
        <v>2315.19</v>
      </c>
      <c r="M782">
        <v>229.56</v>
      </c>
    </row>
    <row r="783" spans="1:13" x14ac:dyDescent="0.25">
      <c r="A783">
        <v>10782</v>
      </c>
      <c r="B783" t="str">
        <f t="shared" si="24"/>
        <v>Apr</v>
      </c>
      <c r="C783">
        <f t="shared" si="25"/>
        <v>4</v>
      </c>
      <c r="D783" t="s">
        <v>637</v>
      </c>
      <c r="E783" t="s">
        <v>893</v>
      </c>
      <c r="F783" t="s">
        <v>26</v>
      </c>
      <c r="G783" t="s">
        <v>46</v>
      </c>
      <c r="H783" t="s">
        <v>47</v>
      </c>
      <c r="I783" t="s">
        <v>27</v>
      </c>
      <c r="J783" t="s">
        <v>118</v>
      </c>
      <c r="K783">
        <v>3</v>
      </c>
      <c r="L783" s="4">
        <v>3782.95</v>
      </c>
      <c r="M783">
        <v>416.3</v>
      </c>
    </row>
    <row r="784" spans="1:13" x14ac:dyDescent="0.25">
      <c r="A784">
        <v>10783</v>
      </c>
      <c r="B784" t="str">
        <f t="shared" si="24"/>
        <v>May</v>
      </c>
      <c r="C784">
        <f t="shared" si="25"/>
        <v>5</v>
      </c>
      <c r="D784" t="s">
        <v>894</v>
      </c>
      <c r="E784" t="s">
        <v>833</v>
      </c>
      <c r="F784" t="s">
        <v>26</v>
      </c>
      <c r="G784" t="s">
        <v>20</v>
      </c>
      <c r="H784" t="s">
        <v>76</v>
      </c>
      <c r="I784" t="s">
        <v>27</v>
      </c>
      <c r="J784" t="s">
        <v>77</v>
      </c>
      <c r="K784">
        <v>8</v>
      </c>
      <c r="L784" s="4">
        <v>2219.2800000000002</v>
      </c>
      <c r="M784">
        <v>265.11</v>
      </c>
    </row>
    <row r="785" spans="1:13" x14ac:dyDescent="0.25">
      <c r="A785">
        <v>10784</v>
      </c>
      <c r="B785" t="str">
        <f t="shared" si="24"/>
        <v>Sep</v>
      </c>
      <c r="C785">
        <f t="shared" si="25"/>
        <v>9</v>
      </c>
      <c r="D785" t="s">
        <v>499</v>
      </c>
      <c r="E785" t="s">
        <v>708</v>
      </c>
      <c r="F785" t="s">
        <v>13</v>
      </c>
      <c r="G785" t="s">
        <v>46</v>
      </c>
      <c r="H785" t="s">
        <v>47</v>
      </c>
      <c r="I785" t="s">
        <v>22</v>
      </c>
      <c r="J785" t="s">
        <v>38</v>
      </c>
      <c r="K785">
        <v>2</v>
      </c>
      <c r="L785" s="4">
        <v>1859.56</v>
      </c>
      <c r="M785">
        <v>47.03</v>
      </c>
    </row>
    <row r="786" spans="1:13" x14ac:dyDescent="0.25">
      <c r="A786">
        <v>10785</v>
      </c>
      <c r="B786" t="str">
        <f t="shared" si="24"/>
        <v>Apr</v>
      </c>
      <c r="C786">
        <f t="shared" si="25"/>
        <v>4</v>
      </c>
      <c r="D786" t="s">
        <v>895</v>
      </c>
      <c r="E786" t="s">
        <v>816</v>
      </c>
      <c r="F786" t="s">
        <v>31</v>
      </c>
      <c r="G786" t="s">
        <v>14</v>
      </c>
      <c r="H786" t="s">
        <v>37</v>
      </c>
      <c r="I786" t="s">
        <v>22</v>
      </c>
      <c r="J786" t="s">
        <v>23</v>
      </c>
      <c r="K786">
        <v>2</v>
      </c>
      <c r="L786" s="4">
        <v>449.61</v>
      </c>
      <c r="M786">
        <v>6.75</v>
      </c>
    </row>
    <row r="787" spans="1:13" x14ac:dyDescent="0.25">
      <c r="A787">
        <v>10786</v>
      </c>
      <c r="B787" t="str">
        <f t="shared" si="24"/>
        <v>Oct</v>
      </c>
      <c r="C787">
        <f t="shared" si="25"/>
        <v>10</v>
      </c>
      <c r="D787" t="s">
        <v>201</v>
      </c>
      <c r="E787" t="s">
        <v>367</v>
      </c>
      <c r="F787" t="s">
        <v>26</v>
      </c>
      <c r="G787" t="s">
        <v>32</v>
      </c>
      <c r="H787" t="s">
        <v>54</v>
      </c>
      <c r="I787" t="s">
        <v>16</v>
      </c>
      <c r="J787" t="s">
        <v>17</v>
      </c>
      <c r="K787">
        <v>4</v>
      </c>
      <c r="L787" s="4">
        <v>3557.65</v>
      </c>
      <c r="M787">
        <v>965.67</v>
      </c>
    </row>
    <row r="788" spans="1:13" x14ac:dyDescent="0.25">
      <c r="A788">
        <v>10787</v>
      </c>
      <c r="B788" t="str">
        <f t="shared" si="24"/>
        <v>Dec</v>
      </c>
      <c r="C788">
        <f t="shared" si="25"/>
        <v>12</v>
      </c>
      <c r="D788" t="s">
        <v>896</v>
      </c>
      <c r="E788" t="s">
        <v>799</v>
      </c>
      <c r="F788" t="s">
        <v>26</v>
      </c>
      <c r="G788" t="s">
        <v>32</v>
      </c>
      <c r="H788" t="s">
        <v>54</v>
      </c>
      <c r="I788" t="s">
        <v>27</v>
      </c>
      <c r="J788" t="s">
        <v>77</v>
      </c>
      <c r="K788">
        <v>7</v>
      </c>
      <c r="L788" s="4">
        <v>4127.12</v>
      </c>
      <c r="M788">
        <v>987.06</v>
      </c>
    </row>
    <row r="789" spans="1:13" x14ac:dyDescent="0.25">
      <c r="A789">
        <v>10788</v>
      </c>
      <c r="B789" t="str">
        <f t="shared" si="24"/>
        <v>Aug</v>
      </c>
      <c r="C789">
        <f t="shared" si="25"/>
        <v>8</v>
      </c>
      <c r="D789" t="s">
        <v>55</v>
      </c>
      <c r="E789" t="s">
        <v>897</v>
      </c>
      <c r="F789" t="s">
        <v>31</v>
      </c>
      <c r="G789" t="s">
        <v>20</v>
      </c>
      <c r="H789" t="s">
        <v>21</v>
      </c>
      <c r="I789" t="s">
        <v>22</v>
      </c>
      <c r="J789" t="s">
        <v>48</v>
      </c>
      <c r="K789">
        <v>8</v>
      </c>
      <c r="L789" s="4">
        <v>1245.24</v>
      </c>
      <c r="M789">
        <v>189.74</v>
      </c>
    </row>
    <row r="790" spans="1:13" x14ac:dyDescent="0.25">
      <c r="A790">
        <v>10789</v>
      </c>
      <c r="B790" t="str">
        <f t="shared" si="24"/>
        <v>Aug</v>
      </c>
      <c r="C790">
        <f t="shared" si="25"/>
        <v>8</v>
      </c>
      <c r="D790" t="s">
        <v>155</v>
      </c>
      <c r="E790" t="s">
        <v>898</v>
      </c>
      <c r="F790" t="s">
        <v>13</v>
      </c>
      <c r="G790" t="s">
        <v>32</v>
      </c>
      <c r="H790" t="s">
        <v>33</v>
      </c>
      <c r="I790" t="s">
        <v>27</v>
      </c>
      <c r="J790" t="s">
        <v>104</v>
      </c>
      <c r="K790">
        <v>7</v>
      </c>
      <c r="L790" s="4">
        <v>3873.64</v>
      </c>
      <c r="M790">
        <v>848.62</v>
      </c>
    </row>
    <row r="791" spans="1:13" x14ac:dyDescent="0.25">
      <c r="A791">
        <v>10790</v>
      </c>
      <c r="B791" t="str">
        <f t="shared" si="24"/>
        <v>Jul</v>
      </c>
      <c r="C791">
        <f t="shared" si="25"/>
        <v>7</v>
      </c>
      <c r="D791" t="s">
        <v>39</v>
      </c>
      <c r="E791" t="s">
        <v>890</v>
      </c>
      <c r="F791" t="s">
        <v>26</v>
      </c>
      <c r="G791" t="s">
        <v>14</v>
      </c>
      <c r="H791" t="s">
        <v>37</v>
      </c>
      <c r="I791" t="s">
        <v>22</v>
      </c>
      <c r="J791" t="s">
        <v>48</v>
      </c>
      <c r="K791">
        <v>5</v>
      </c>
      <c r="L791" s="4">
        <v>4722.43</v>
      </c>
      <c r="M791">
        <v>166.51</v>
      </c>
    </row>
    <row r="792" spans="1:13" x14ac:dyDescent="0.25">
      <c r="A792">
        <v>10791</v>
      </c>
      <c r="B792" t="str">
        <f t="shared" si="24"/>
        <v>Mar</v>
      </c>
      <c r="C792">
        <f t="shared" si="25"/>
        <v>3</v>
      </c>
      <c r="D792" t="s">
        <v>49</v>
      </c>
      <c r="E792" t="s">
        <v>899</v>
      </c>
      <c r="F792" t="s">
        <v>31</v>
      </c>
      <c r="G792" t="s">
        <v>20</v>
      </c>
      <c r="H792" t="s">
        <v>76</v>
      </c>
      <c r="I792" t="s">
        <v>16</v>
      </c>
      <c r="J792" t="s">
        <v>51</v>
      </c>
      <c r="K792">
        <v>5</v>
      </c>
      <c r="L792" s="4">
        <v>1697.79</v>
      </c>
      <c r="M792">
        <v>16.22</v>
      </c>
    </row>
    <row r="793" spans="1:13" x14ac:dyDescent="0.25">
      <c r="A793">
        <v>10792</v>
      </c>
      <c r="B793" t="str">
        <f t="shared" si="24"/>
        <v>Oct</v>
      </c>
      <c r="C793">
        <f t="shared" si="25"/>
        <v>10</v>
      </c>
      <c r="D793" t="s">
        <v>475</v>
      </c>
      <c r="E793" t="s">
        <v>900</v>
      </c>
      <c r="F793" t="s">
        <v>13</v>
      </c>
      <c r="G793" t="s">
        <v>20</v>
      </c>
      <c r="H793" t="s">
        <v>76</v>
      </c>
      <c r="I793" t="s">
        <v>22</v>
      </c>
      <c r="J793" t="s">
        <v>34</v>
      </c>
      <c r="K793">
        <v>2</v>
      </c>
      <c r="L793" s="4">
        <v>2719</v>
      </c>
      <c r="M793">
        <v>253.11</v>
      </c>
    </row>
    <row r="794" spans="1:13" x14ac:dyDescent="0.25">
      <c r="A794">
        <v>10793</v>
      </c>
      <c r="B794" t="str">
        <f t="shared" si="24"/>
        <v>Apr</v>
      </c>
      <c r="C794">
        <f t="shared" si="25"/>
        <v>4</v>
      </c>
      <c r="D794" t="s">
        <v>901</v>
      </c>
      <c r="E794" t="s">
        <v>217</v>
      </c>
      <c r="F794" t="s">
        <v>26</v>
      </c>
      <c r="G794" t="s">
        <v>32</v>
      </c>
      <c r="H794" t="s">
        <v>33</v>
      </c>
      <c r="I794" t="s">
        <v>22</v>
      </c>
      <c r="J794" t="s">
        <v>23</v>
      </c>
      <c r="K794">
        <v>3</v>
      </c>
      <c r="L794" s="4">
        <v>257.08999999999997</v>
      </c>
      <c r="M794">
        <v>8.2799999999999994</v>
      </c>
    </row>
    <row r="795" spans="1:13" x14ac:dyDescent="0.25">
      <c r="A795">
        <v>10794</v>
      </c>
      <c r="B795" t="str">
        <f t="shared" si="24"/>
        <v>Sep</v>
      </c>
      <c r="C795">
        <f t="shared" si="25"/>
        <v>9</v>
      </c>
      <c r="D795" t="s">
        <v>687</v>
      </c>
      <c r="E795" t="s">
        <v>902</v>
      </c>
      <c r="F795" t="s">
        <v>26</v>
      </c>
      <c r="G795" t="s">
        <v>20</v>
      </c>
      <c r="H795" t="s">
        <v>76</v>
      </c>
      <c r="I795" t="s">
        <v>22</v>
      </c>
      <c r="J795" t="s">
        <v>48</v>
      </c>
      <c r="K795">
        <v>5</v>
      </c>
      <c r="L795" s="4">
        <v>3331.89</v>
      </c>
      <c r="M795">
        <v>219.14</v>
      </c>
    </row>
    <row r="796" spans="1:13" x14ac:dyDescent="0.25">
      <c r="A796">
        <v>10795</v>
      </c>
      <c r="B796" t="str">
        <f t="shared" si="24"/>
        <v>Jul</v>
      </c>
      <c r="C796">
        <f t="shared" si="25"/>
        <v>7</v>
      </c>
      <c r="D796" t="s">
        <v>819</v>
      </c>
      <c r="E796" t="s">
        <v>747</v>
      </c>
      <c r="F796" t="s">
        <v>26</v>
      </c>
      <c r="G796" t="s">
        <v>32</v>
      </c>
      <c r="H796" t="s">
        <v>54</v>
      </c>
      <c r="I796" t="s">
        <v>27</v>
      </c>
      <c r="J796" t="s">
        <v>104</v>
      </c>
      <c r="K796">
        <v>2</v>
      </c>
      <c r="L796" s="4">
        <v>732.77</v>
      </c>
      <c r="M796">
        <v>38.97</v>
      </c>
    </row>
    <row r="797" spans="1:13" x14ac:dyDescent="0.25">
      <c r="A797">
        <v>10796</v>
      </c>
      <c r="B797" t="str">
        <f t="shared" si="24"/>
        <v>Apr</v>
      </c>
      <c r="C797">
        <f t="shared" si="25"/>
        <v>4</v>
      </c>
      <c r="D797" t="s">
        <v>709</v>
      </c>
      <c r="E797" t="s">
        <v>535</v>
      </c>
      <c r="F797" t="s">
        <v>13</v>
      </c>
      <c r="G797" t="s">
        <v>46</v>
      </c>
      <c r="H797" t="s">
        <v>71</v>
      </c>
      <c r="I797" t="s">
        <v>27</v>
      </c>
      <c r="J797" t="s">
        <v>77</v>
      </c>
      <c r="K797">
        <v>8</v>
      </c>
      <c r="L797" s="4">
        <v>878.03</v>
      </c>
      <c r="M797">
        <v>139.11000000000001</v>
      </c>
    </row>
    <row r="798" spans="1:13" x14ac:dyDescent="0.25">
      <c r="A798">
        <v>10797</v>
      </c>
      <c r="B798" t="str">
        <f t="shared" si="24"/>
        <v>May</v>
      </c>
      <c r="C798">
        <f t="shared" si="25"/>
        <v>5</v>
      </c>
      <c r="D798" t="s">
        <v>665</v>
      </c>
      <c r="E798" t="s">
        <v>323</v>
      </c>
      <c r="F798" t="s">
        <v>31</v>
      </c>
      <c r="G798" t="s">
        <v>20</v>
      </c>
      <c r="H798" t="s">
        <v>76</v>
      </c>
      <c r="I798" t="s">
        <v>22</v>
      </c>
      <c r="J798" t="s">
        <v>23</v>
      </c>
      <c r="K798">
        <v>3</v>
      </c>
      <c r="L798" s="4">
        <v>2284.08</v>
      </c>
      <c r="M798">
        <v>524.57000000000005</v>
      </c>
    </row>
    <row r="799" spans="1:13" x14ac:dyDescent="0.25">
      <c r="A799">
        <v>10798</v>
      </c>
      <c r="B799" t="str">
        <f t="shared" si="24"/>
        <v>Dec</v>
      </c>
      <c r="C799">
        <f t="shared" si="25"/>
        <v>12</v>
      </c>
      <c r="D799" t="s">
        <v>662</v>
      </c>
      <c r="E799" t="s">
        <v>903</v>
      </c>
      <c r="F799" t="s">
        <v>13</v>
      </c>
      <c r="G799" t="s">
        <v>20</v>
      </c>
      <c r="H799" t="s">
        <v>76</v>
      </c>
      <c r="I799" t="s">
        <v>27</v>
      </c>
      <c r="J799" t="s">
        <v>118</v>
      </c>
      <c r="K799">
        <v>2</v>
      </c>
      <c r="L799" s="4">
        <v>1510.77</v>
      </c>
      <c r="M799">
        <v>362.65</v>
      </c>
    </row>
    <row r="800" spans="1:13" x14ac:dyDescent="0.25">
      <c r="A800">
        <v>10799</v>
      </c>
      <c r="B800" t="str">
        <f t="shared" si="24"/>
        <v>Aug</v>
      </c>
      <c r="C800">
        <f t="shared" si="25"/>
        <v>8</v>
      </c>
      <c r="D800" t="s">
        <v>296</v>
      </c>
      <c r="E800" t="s">
        <v>904</v>
      </c>
      <c r="F800" t="s">
        <v>13</v>
      </c>
      <c r="G800" t="s">
        <v>32</v>
      </c>
      <c r="H800" t="s">
        <v>54</v>
      </c>
      <c r="I800" t="s">
        <v>16</v>
      </c>
      <c r="J800" t="s">
        <v>43</v>
      </c>
      <c r="K800">
        <v>7</v>
      </c>
      <c r="L800" s="4">
        <v>1320.76</v>
      </c>
      <c r="M800">
        <v>289.87</v>
      </c>
    </row>
    <row r="801" spans="1:13" x14ac:dyDescent="0.25">
      <c r="A801">
        <v>10800</v>
      </c>
      <c r="B801" t="str">
        <f t="shared" si="24"/>
        <v>Oct</v>
      </c>
      <c r="C801">
        <f t="shared" si="25"/>
        <v>10</v>
      </c>
      <c r="D801" t="s">
        <v>114</v>
      </c>
      <c r="E801" t="s">
        <v>425</v>
      </c>
      <c r="F801" t="s">
        <v>13</v>
      </c>
      <c r="G801" t="s">
        <v>46</v>
      </c>
      <c r="H801" t="s">
        <v>71</v>
      </c>
      <c r="I801" t="s">
        <v>27</v>
      </c>
      <c r="J801" t="s">
        <v>118</v>
      </c>
      <c r="K801">
        <v>4</v>
      </c>
      <c r="L801" s="4">
        <v>4439.1499999999996</v>
      </c>
      <c r="M801">
        <v>308.97000000000003</v>
      </c>
    </row>
    <row r="802" spans="1:13" x14ac:dyDescent="0.25">
      <c r="A802">
        <v>10801</v>
      </c>
      <c r="B802" t="str">
        <f t="shared" si="24"/>
        <v>Jun</v>
      </c>
      <c r="C802">
        <f t="shared" si="25"/>
        <v>6</v>
      </c>
      <c r="D802" t="s">
        <v>843</v>
      </c>
      <c r="E802" t="s">
        <v>524</v>
      </c>
      <c r="F802" t="s">
        <v>31</v>
      </c>
      <c r="G802" t="s">
        <v>14</v>
      </c>
      <c r="H802" t="s">
        <v>15</v>
      </c>
      <c r="I802" t="s">
        <v>27</v>
      </c>
      <c r="J802" t="s">
        <v>77</v>
      </c>
      <c r="K802">
        <v>2</v>
      </c>
      <c r="L802" s="4">
        <v>4977.05</v>
      </c>
      <c r="M802">
        <v>333.56</v>
      </c>
    </row>
    <row r="803" spans="1:13" x14ac:dyDescent="0.25">
      <c r="A803">
        <v>10802</v>
      </c>
      <c r="B803" t="str">
        <f t="shared" si="24"/>
        <v>Aug</v>
      </c>
      <c r="C803">
        <f t="shared" si="25"/>
        <v>8</v>
      </c>
      <c r="D803" t="s">
        <v>195</v>
      </c>
      <c r="E803" t="s">
        <v>846</v>
      </c>
      <c r="F803" t="s">
        <v>31</v>
      </c>
      <c r="G803" t="s">
        <v>46</v>
      </c>
      <c r="H803" t="s">
        <v>47</v>
      </c>
      <c r="I803" t="s">
        <v>22</v>
      </c>
      <c r="J803" t="s">
        <v>23</v>
      </c>
      <c r="K803">
        <v>8</v>
      </c>
      <c r="L803" s="4">
        <v>230.92</v>
      </c>
      <c r="M803">
        <v>-19.13</v>
      </c>
    </row>
    <row r="804" spans="1:13" x14ac:dyDescent="0.25">
      <c r="A804">
        <v>10803</v>
      </c>
      <c r="B804" t="str">
        <f t="shared" si="24"/>
        <v>Dec</v>
      </c>
      <c r="C804">
        <f t="shared" si="25"/>
        <v>12</v>
      </c>
      <c r="D804" t="s">
        <v>312</v>
      </c>
      <c r="E804" t="s">
        <v>905</v>
      </c>
      <c r="F804" t="s">
        <v>31</v>
      </c>
      <c r="G804" t="s">
        <v>20</v>
      </c>
      <c r="H804" t="s">
        <v>21</v>
      </c>
      <c r="I804" t="s">
        <v>27</v>
      </c>
      <c r="J804" t="s">
        <v>118</v>
      </c>
      <c r="K804">
        <v>1</v>
      </c>
      <c r="L804" s="4">
        <v>1327.97</v>
      </c>
      <c r="M804">
        <v>288.17</v>
      </c>
    </row>
    <row r="805" spans="1:13" x14ac:dyDescent="0.25">
      <c r="A805">
        <v>10804</v>
      </c>
      <c r="B805" t="str">
        <f t="shared" si="24"/>
        <v>May</v>
      </c>
      <c r="C805">
        <f t="shared" si="25"/>
        <v>5</v>
      </c>
      <c r="D805" t="s">
        <v>24</v>
      </c>
      <c r="E805" t="s">
        <v>906</v>
      </c>
      <c r="F805" t="s">
        <v>26</v>
      </c>
      <c r="G805" t="s">
        <v>20</v>
      </c>
      <c r="H805" t="s">
        <v>76</v>
      </c>
      <c r="I805" t="s">
        <v>22</v>
      </c>
      <c r="J805" t="s">
        <v>23</v>
      </c>
      <c r="K805">
        <v>4</v>
      </c>
      <c r="L805" s="4">
        <v>3596.55</v>
      </c>
      <c r="M805">
        <v>526.32000000000005</v>
      </c>
    </row>
    <row r="806" spans="1:13" x14ac:dyDescent="0.25">
      <c r="A806">
        <v>10805</v>
      </c>
      <c r="B806" t="str">
        <f t="shared" si="24"/>
        <v>Feb</v>
      </c>
      <c r="C806">
        <f t="shared" si="25"/>
        <v>2</v>
      </c>
      <c r="D806" t="s">
        <v>907</v>
      </c>
      <c r="E806" t="s">
        <v>389</v>
      </c>
      <c r="F806" t="s">
        <v>26</v>
      </c>
      <c r="G806" t="s">
        <v>46</v>
      </c>
      <c r="H806" t="s">
        <v>71</v>
      </c>
      <c r="I806" t="s">
        <v>16</v>
      </c>
      <c r="J806" t="s">
        <v>81</v>
      </c>
      <c r="K806">
        <v>3</v>
      </c>
      <c r="L806" s="4">
        <v>1541.31</v>
      </c>
      <c r="M806">
        <v>244</v>
      </c>
    </row>
    <row r="807" spans="1:13" x14ac:dyDescent="0.25">
      <c r="A807">
        <v>10806</v>
      </c>
      <c r="B807" t="str">
        <f t="shared" si="24"/>
        <v>Apr</v>
      </c>
      <c r="C807">
        <f t="shared" si="25"/>
        <v>4</v>
      </c>
      <c r="D807" t="s">
        <v>865</v>
      </c>
      <c r="E807" t="s">
        <v>908</v>
      </c>
      <c r="F807" t="s">
        <v>13</v>
      </c>
      <c r="G807" t="s">
        <v>32</v>
      </c>
      <c r="H807" t="s">
        <v>33</v>
      </c>
      <c r="I807" t="s">
        <v>27</v>
      </c>
      <c r="J807" t="s">
        <v>28</v>
      </c>
      <c r="K807">
        <v>3</v>
      </c>
      <c r="L807" s="4">
        <v>1161.69</v>
      </c>
      <c r="M807">
        <v>0.57999999999999996</v>
      </c>
    </row>
    <row r="808" spans="1:13" x14ac:dyDescent="0.25">
      <c r="A808">
        <v>10807</v>
      </c>
      <c r="B808" t="str">
        <f t="shared" si="24"/>
        <v>Apr</v>
      </c>
      <c r="C808">
        <f t="shared" si="25"/>
        <v>4</v>
      </c>
      <c r="D808" t="s">
        <v>709</v>
      </c>
      <c r="E808" t="s">
        <v>504</v>
      </c>
      <c r="F808" t="s">
        <v>31</v>
      </c>
      <c r="G808" t="s">
        <v>14</v>
      </c>
      <c r="H808" t="s">
        <v>15</v>
      </c>
      <c r="I808" t="s">
        <v>27</v>
      </c>
      <c r="J808" t="s">
        <v>28</v>
      </c>
      <c r="K808">
        <v>8</v>
      </c>
      <c r="L808" s="4">
        <v>356.83</v>
      </c>
      <c r="M808">
        <v>-58.98</v>
      </c>
    </row>
    <row r="809" spans="1:13" x14ac:dyDescent="0.25">
      <c r="A809">
        <v>10808</v>
      </c>
      <c r="B809" t="str">
        <f t="shared" si="24"/>
        <v>Dec</v>
      </c>
      <c r="C809">
        <f t="shared" si="25"/>
        <v>12</v>
      </c>
      <c r="D809" t="s">
        <v>674</v>
      </c>
      <c r="E809" t="s">
        <v>909</v>
      </c>
      <c r="F809" t="s">
        <v>26</v>
      </c>
      <c r="G809" t="s">
        <v>46</v>
      </c>
      <c r="H809" t="s">
        <v>71</v>
      </c>
      <c r="I809" t="s">
        <v>22</v>
      </c>
      <c r="J809" t="s">
        <v>23</v>
      </c>
      <c r="K809">
        <v>7</v>
      </c>
      <c r="L809" s="4">
        <v>236.93</v>
      </c>
      <c r="M809">
        <v>-69.34</v>
      </c>
    </row>
    <row r="810" spans="1:13" x14ac:dyDescent="0.25">
      <c r="A810">
        <v>10809</v>
      </c>
      <c r="B810" t="str">
        <f t="shared" si="24"/>
        <v>Jun</v>
      </c>
      <c r="C810">
        <f t="shared" si="25"/>
        <v>6</v>
      </c>
      <c r="D810" t="s">
        <v>461</v>
      </c>
      <c r="E810" t="s">
        <v>794</v>
      </c>
      <c r="F810" t="s">
        <v>13</v>
      </c>
      <c r="G810" t="s">
        <v>46</v>
      </c>
      <c r="H810" t="s">
        <v>71</v>
      </c>
      <c r="I810" t="s">
        <v>16</v>
      </c>
      <c r="J810" t="s">
        <v>43</v>
      </c>
      <c r="K810">
        <v>3</v>
      </c>
      <c r="L810" s="4">
        <v>315.66000000000003</v>
      </c>
      <c r="M810">
        <v>-25.34</v>
      </c>
    </row>
    <row r="811" spans="1:13" x14ac:dyDescent="0.25">
      <c r="A811">
        <v>10810</v>
      </c>
      <c r="B811" t="str">
        <f t="shared" si="24"/>
        <v>Mar</v>
      </c>
      <c r="C811">
        <f t="shared" si="25"/>
        <v>3</v>
      </c>
      <c r="D811" t="s">
        <v>317</v>
      </c>
      <c r="E811" t="s">
        <v>238</v>
      </c>
      <c r="F811" t="s">
        <v>31</v>
      </c>
      <c r="G811" t="s">
        <v>46</v>
      </c>
      <c r="H811" t="s">
        <v>71</v>
      </c>
      <c r="I811" t="s">
        <v>16</v>
      </c>
      <c r="J811" t="s">
        <v>51</v>
      </c>
      <c r="K811">
        <v>7</v>
      </c>
      <c r="L811" s="4">
        <v>691.94</v>
      </c>
      <c r="M811">
        <v>35.92</v>
      </c>
    </row>
    <row r="812" spans="1:13" x14ac:dyDescent="0.25">
      <c r="A812">
        <v>10811</v>
      </c>
      <c r="B812" t="str">
        <f t="shared" si="24"/>
        <v>Nov</v>
      </c>
      <c r="C812">
        <f t="shared" si="25"/>
        <v>11</v>
      </c>
      <c r="D812" t="s">
        <v>552</v>
      </c>
      <c r="E812" t="s">
        <v>162</v>
      </c>
      <c r="F812" t="s">
        <v>26</v>
      </c>
      <c r="G812" t="s">
        <v>32</v>
      </c>
      <c r="H812" t="s">
        <v>33</v>
      </c>
      <c r="I812" t="s">
        <v>27</v>
      </c>
      <c r="J812" t="s">
        <v>104</v>
      </c>
      <c r="K812">
        <v>8</v>
      </c>
      <c r="L812" s="4">
        <v>1178.47</v>
      </c>
      <c r="M812">
        <v>224.92</v>
      </c>
    </row>
    <row r="813" spans="1:13" x14ac:dyDescent="0.25">
      <c r="A813">
        <v>10812</v>
      </c>
      <c r="B813" t="str">
        <f t="shared" si="24"/>
        <v>Oct</v>
      </c>
      <c r="C813">
        <f t="shared" si="25"/>
        <v>10</v>
      </c>
      <c r="D813" t="s">
        <v>475</v>
      </c>
      <c r="E813" t="s">
        <v>406</v>
      </c>
      <c r="F813" t="s">
        <v>31</v>
      </c>
      <c r="G813" t="s">
        <v>14</v>
      </c>
      <c r="H813" t="s">
        <v>15</v>
      </c>
      <c r="I813" t="s">
        <v>27</v>
      </c>
      <c r="J813" t="s">
        <v>28</v>
      </c>
      <c r="K813">
        <v>8</v>
      </c>
      <c r="L813" s="4">
        <v>4917.2</v>
      </c>
      <c r="M813">
        <v>317.39999999999998</v>
      </c>
    </row>
    <row r="814" spans="1:13" x14ac:dyDescent="0.25">
      <c r="A814">
        <v>10813</v>
      </c>
      <c r="B814" t="str">
        <f t="shared" si="24"/>
        <v>Jun</v>
      </c>
      <c r="C814">
        <f t="shared" si="25"/>
        <v>6</v>
      </c>
      <c r="D814" t="s">
        <v>743</v>
      </c>
      <c r="E814" t="s">
        <v>289</v>
      </c>
      <c r="F814" t="s">
        <v>13</v>
      </c>
      <c r="G814" t="s">
        <v>14</v>
      </c>
      <c r="H814" t="s">
        <v>37</v>
      </c>
      <c r="I814" t="s">
        <v>16</v>
      </c>
      <c r="J814" t="s">
        <v>51</v>
      </c>
      <c r="K814">
        <v>3</v>
      </c>
      <c r="L814" s="4">
        <v>1727.03</v>
      </c>
      <c r="M814">
        <v>272.27</v>
      </c>
    </row>
    <row r="815" spans="1:13" x14ac:dyDescent="0.25">
      <c r="A815">
        <v>10814</v>
      </c>
      <c r="B815" t="str">
        <f t="shared" si="24"/>
        <v>Oct</v>
      </c>
      <c r="C815">
        <f t="shared" si="25"/>
        <v>10</v>
      </c>
      <c r="D815" t="s">
        <v>850</v>
      </c>
      <c r="E815" t="s">
        <v>910</v>
      </c>
      <c r="F815" t="s">
        <v>26</v>
      </c>
      <c r="G815" t="s">
        <v>20</v>
      </c>
      <c r="H815" t="s">
        <v>21</v>
      </c>
      <c r="I815" t="s">
        <v>27</v>
      </c>
      <c r="J815" t="s">
        <v>118</v>
      </c>
      <c r="K815">
        <v>8</v>
      </c>
      <c r="L815" s="4">
        <v>1973.62</v>
      </c>
      <c r="M815">
        <v>391.51</v>
      </c>
    </row>
    <row r="816" spans="1:13" x14ac:dyDescent="0.25">
      <c r="A816">
        <v>10815</v>
      </c>
      <c r="B816" t="str">
        <f t="shared" si="24"/>
        <v>Feb</v>
      </c>
      <c r="C816">
        <f t="shared" si="25"/>
        <v>2</v>
      </c>
      <c r="D816" t="s">
        <v>682</v>
      </c>
      <c r="E816" t="s">
        <v>911</v>
      </c>
      <c r="F816" t="s">
        <v>26</v>
      </c>
      <c r="G816" t="s">
        <v>46</v>
      </c>
      <c r="H816" t="s">
        <v>71</v>
      </c>
      <c r="I816" t="s">
        <v>16</v>
      </c>
      <c r="J816" t="s">
        <v>81</v>
      </c>
      <c r="K816">
        <v>5</v>
      </c>
      <c r="L816" s="4">
        <v>1258.3399999999999</v>
      </c>
      <c r="M816">
        <v>173.36</v>
      </c>
    </row>
    <row r="817" spans="1:13" x14ac:dyDescent="0.25">
      <c r="A817">
        <v>10816</v>
      </c>
      <c r="B817" t="str">
        <f t="shared" si="24"/>
        <v>Nov</v>
      </c>
      <c r="C817">
        <f t="shared" si="25"/>
        <v>11</v>
      </c>
      <c r="D817" t="s">
        <v>429</v>
      </c>
      <c r="E817" t="s">
        <v>912</v>
      </c>
      <c r="F817" t="s">
        <v>13</v>
      </c>
      <c r="G817" t="s">
        <v>32</v>
      </c>
      <c r="H817" t="s">
        <v>54</v>
      </c>
      <c r="I817" t="s">
        <v>27</v>
      </c>
      <c r="J817" t="s">
        <v>104</v>
      </c>
      <c r="K817">
        <v>3</v>
      </c>
      <c r="L817" s="4">
        <v>1941.16</v>
      </c>
      <c r="M817">
        <v>384.83</v>
      </c>
    </row>
    <row r="818" spans="1:13" x14ac:dyDescent="0.25">
      <c r="A818">
        <v>10817</v>
      </c>
      <c r="B818" t="str">
        <f t="shared" si="24"/>
        <v>May</v>
      </c>
      <c r="C818">
        <f t="shared" si="25"/>
        <v>5</v>
      </c>
      <c r="D818" t="s">
        <v>214</v>
      </c>
      <c r="E818" t="s">
        <v>127</v>
      </c>
      <c r="F818" t="s">
        <v>26</v>
      </c>
      <c r="G818" t="s">
        <v>32</v>
      </c>
      <c r="H818" t="s">
        <v>33</v>
      </c>
      <c r="I818" t="s">
        <v>27</v>
      </c>
      <c r="J818" t="s">
        <v>28</v>
      </c>
      <c r="K818">
        <v>1</v>
      </c>
      <c r="L818" s="4">
        <v>2652.28</v>
      </c>
      <c r="M818">
        <v>716.01</v>
      </c>
    </row>
    <row r="819" spans="1:13" x14ac:dyDescent="0.25">
      <c r="A819">
        <v>10818</v>
      </c>
      <c r="B819" t="str">
        <f t="shared" si="24"/>
        <v>May</v>
      </c>
      <c r="C819">
        <f t="shared" si="25"/>
        <v>5</v>
      </c>
      <c r="D819" t="s">
        <v>672</v>
      </c>
      <c r="E819" t="s">
        <v>129</v>
      </c>
      <c r="F819" t="s">
        <v>13</v>
      </c>
      <c r="G819" t="s">
        <v>46</v>
      </c>
      <c r="H819" t="s">
        <v>47</v>
      </c>
      <c r="I819" t="s">
        <v>27</v>
      </c>
      <c r="J819" t="s">
        <v>104</v>
      </c>
      <c r="K819">
        <v>4</v>
      </c>
      <c r="L819" s="4">
        <v>2742.63</v>
      </c>
      <c r="M819">
        <v>692.27</v>
      </c>
    </row>
    <row r="820" spans="1:13" x14ac:dyDescent="0.25">
      <c r="A820">
        <v>10819</v>
      </c>
      <c r="B820" t="str">
        <f t="shared" si="24"/>
        <v>Feb</v>
      </c>
      <c r="C820">
        <f t="shared" si="25"/>
        <v>2</v>
      </c>
      <c r="D820" t="s">
        <v>86</v>
      </c>
      <c r="E820" t="s">
        <v>109</v>
      </c>
      <c r="F820" t="s">
        <v>26</v>
      </c>
      <c r="G820" t="s">
        <v>46</v>
      </c>
      <c r="H820" t="s">
        <v>47</v>
      </c>
      <c r="I820" t="s">
        <v>16</v>
      </c>
      <c r="J820" t="s">
        <v>17</v>
      </c>
      <c r="K820">
        <v>3</v>
      </c>
      <c r="L820" s="4">
        <v>2267.5700000000002</v>
      </c>
      <c r="M820">
        <v>29.82</v>
      </c>
    </row>
    <row r="821" spans="1:13" x14ac:dyDescent="0.25">
      <c r="A821">
        <v>10820</v>
      </c>
      <c r="B821" t="str">
        <f t="shared" si="24"/>
        <v>May</v>
      </c>
      <c r="C821">
        <f t="shared" si="25"/>
        <v>5</v>
      </c>
      <c r="D821" t="s">
        <v>577</v>
      </c>
      <c r="E821" t="s">
        <v>117</v>
      </c>
      <c r="F821" t="s">
        <v>26</v>
      </c>
      <c r="G821" t="s">
        <v>46</v>
      </c>
      <c r="H821" t="s">
        <v>71</v>
      </c>
      <c r="I821" t="s">
        <v>22</v>
      </c>
      <c r="J821" t="s">
        <v>23</v>
      </c>
      <c r="K821">
        <v>3</v>
      </c>
      <c r="L821" s="4">
        <v>3003.89</v>
      </c>
      <c r="M821">
        <v>681.24</v>
      </c>
    </row>
    <row r="822" spans="1:13" x14ac:dyDescent="0.25">
      <c r="A822">
        <v>10821</v>
      </c>
      <c r="B822" t="str">
        <f t="shared" si="24"/>
        <v>May</v>
      </c>
      <c r="C822">
        <f t="shared" si="25"/>
        <v>5</v>
      </c>
      <c r="D822" t="s">
        <v>360</v>
      </c>
      <c r="E822" t="s">
        <v>657</v>
      </c>
      <c r="F822" t="s">
        <v>31</v>
      </c>
      <c r="G822" t="s">
        <v>20</v>
      </c>
      <c r="H822" t="s">
        <v>76</v>
      </c>
      <c r="I822" t="s">
        <v>27</v>
      </c>
      <c r="J822" t="s">
        <v>104</v>
      </c>
      <c r="K822">
        <v>4</v>
      </c>
      <c r="L822" s="4">
        <v>1300.1300000000001</v>
      </c>
      <c r="M822">
        <v>97.46</v>
      </c>
    </row>
    <row r="823" spans="1:13" x14ac:dyDescent="0.25">
      <c r="A823">
        <v>10822</v>
      </c>
      <c r="B823" t="str">
        <f t="shared" si="24"/>
        <v>Sep</v>
      </c>
      <c r="C823">
        <f t="shared" si="25"/>
        <v>9</v>
      </c>
      <c r="D823" t="s">
        <v>243</v>
      </c>
      <c r="E823" t="s">
        <v>913</v>
      </c>
      <c r="F823" t="s">
        <v>13</v>
      </c>
      <c r="G823" t="s">
        <v>46</v>
      </c>
      <c r="H823" t="s">
        <v>47</v>
      </c>
      <c r="I823" t="s">
        <v>27</v>
      </c>
      <c r="J823" t="s">
        <v>118</v>
      </c>
      <c r="K823">
        <v>6</v>
      </c>
      <c r="L823" s="4">
        <v>2051.4</v>
      </c>
      <c r="M823">
        <v>144.47</v>
      </c>
    </row>
    <row r="824" spans="1:13" x14ac:dyDescent="0.25">
      <c r="A824">
        <v>10823</v>
      </c>
      <c r="B824" t="str">
        <f t="shared" si="24"/>
        <v>Jun</v>
      </c>
      <c r="C824">
        <f t="shared" si="25"/>
        <v>6</v>
      </c>
      <c r="D824" t="s">
        <v>116</v>
      </c>
      <c r="E824" t="s">
        <v>87</v>
      </c>
      <c r="F824" t="s">
        <v>13</v>
      </c>
      <c r="G824" t="s">
        <v>20</v>
      </c>
      <c r="H824" t="s">
        <v>21</v>
      </c>
      <c r="I824" t="s">
        <v>27</v>
      </c>
      <c r="J824" t="s">
        <v>118</v>
      </c>
      <c r="K824">
        <v>7</v>
      </c>
      <c r="L824" s="4">
        <v>2194.25</v>
      </c>
      <c r="M824">
        <v>64.73</v>
      </c>
    </row>
    <row r="825" spans="1:13" x14ac:dyDescent="0.25">
      <c r="A825">
        <v>10824</v>
      </c>
      <c r="B825" t="str">
        <f t="shared" si="24"/>
        <v>Sep</v>
      </c>
      <c r="C825">
        <f t="shared" si="25"/>
        <v>9</v>
      </c>
      <c r="D825" t="s">
        <v>648</v>
      </c>
      <c r="E825" t="s">
        <v>914</v>
      </c>
      <c r="F825" t="s">
        <v>31</v>
      </c>
      <c r="G825" t="s">
        <v>46</v>
      </c>
      <c r="H825" t="s">
        <v>71</v>
      </c>
      <c r="I825" t="s">
        <v>27</v>
      </c>
      <c r="J825" t="s">
        <v>77</v>
      </c>
      <c r="K825">
        <v>8</v>
      </c>
      <c r="L825" s="4">
        <v>1598.65</v>
      </c>
      <c r="M825">
        <v>136.91</v>
      </c>
    </row>
    <row r="826" spans="1:13" x14ac:dyDescent="0.25">
      <c r="A826">
        <v>10825</v>
      </c>
      <c r="B826" t="str">
        <f t="shared" si="24"/>
        <v>Jul</v>
      </c>
      <c r="C826">
        <f t="shared" si="25"/>
        <v>7</v>
      </c>
      <c r="D826" t="s">
        <v>211</v>
      </c>
      <c r="E826" t="s">
        <v>915</v>
      </c>
      <c r="F826" t="s">
        <v>31</v>
      </c>
      <c r="G826" t="s">
        <v>46</v>
      </c>
      <c r="H826" t="s">
        <v>47</v>
      </c>
      <c r="I826" t="s">
        <v>22</v>
      </c>
      <c r="J826" t="s">
        <v>48</v>
      </c>
      <c r="K826">
        <v>4</v>
      </c>
      <c r="L826" s="4">
        <v>120.48</v>
      </c>
      <c r="M826">
        <v>-41.06</v>
      </c>
    </row>
    <row r="827" spans="1:13" x14ac:dyDescent="0.25">
      <c r="A827">
        <v>10826</v>
      </c>
      <c r="B827" t="str">
        <f t="shared" si="24"/>
        <v>Jul</v>
      </c>
      <c r="C827">
        <f t="shared" si="25"/>
        <v>7</v>
      </c>
      <c r="D827" t="s">
        <v>176</v>
      </c>
      <c r="E827" t="s">
        <v>916</v>
      </c>
      <c r="F827" t="s">
        <v>26</v>
      </c>
      <c r="G827" t="s">
        <v>20</v>
      </c>
      <c r="H827" t="s">
        <v>76</v>
      </c>
      <c r="I827" t="s">
        <v>16</v>
      </c>
      <c r="J827" t="s">
        <v>17</v>
      </c>
      <c r="K827">
        <v>7</v>
      </c>
      <c r="L827" s="4">
        <v>2498.8000000000002</v>
      </c>
      <c r="M827">
        <v>466.57</v>
      </c>
    </row>
    <row r="828" spans="1:13" x14ac:dyDescent="0.25">
      <c r="A828">
        <v>10827</v>
      </c>
      <c r="B828" t="str">
        <f t="shared" si="24"/>
        <v>Dec</v>
      </c>
      <c r="C828">
        <f t="shared" si="25"/>
        <v>12</v>
      </c>
      <c r="D828" t="s">
        <v>326</v>
      </c>
      <c r="E828" t="s">
        <v>917</v>
      </c>
      <c r="F828" t="s">
        <v>13</v>
      </c>
      <c r="G828" t="s">
        <v>20</v>
      </c>
      <c r="H828" t="s">
        <v>21</v>
      </c>
      <c r="I828" t="s">
        <v>22</v>
      </c>
      <c r="J828" t="s">
        <v>34</v>
      </c>
      <c r="K828">
        <v>5</v>
      </c>
      <c r="L828" s="4">
        <v>3879.22</v>
      </c>
      <c r="M828">
        <v>887.99</v>
      </c>
    </row>
    <row r="829" spans="1:13" x14ac:dyDescent="0.25">
      <c r="A829">
        <v>10828</v>
      </c>
      <c r="B829" t="str">
        <f t="shared" si="24"/>
        <v>Jul</v>
      </c>
      <c r="C829">
        <f t="shared" si="25"/>
        <v>7</v>
      </c>
      <c r="D829" t="s">
        <v>918</v>
      </c>
      <c r="E829" t="s">
        <v>861</v>
      </c>
      <c r="F829" t="s">
        <v>13</v>
      </c>
      <c r="G829" t="s">
        <v>32</v>
      </c>
      <c r="H829" t="s">
        <v>33</v>
      </c>
      <c r="I829" t="s">
        <v>16</v>
      </c>
      <c r="J829" t="s">
        <v>51</v>
      </c>
      <c r="K829">
        <v>7</v>
      </c>
      <c r="L829" s="4">
        <v>3704.75</v>
      </c>
      <c r="M829">
        <v>406.25</v>
      </c>
    </row>
    <row r="830" spans="1:13" x14ac:dyDescent="0.25">
      <c r="A830">
        <v>10829</v>
      </c>
      <c r="B830" t="str">
        <f t="shared" si="24"/>
        <v>Mar</v>
      </c>
      <c r="C830">
        <f t="shared" si="25"/>
        <v>3</v>
      </c>
      <c r="D830" t="s">
        <v>919</v>
      </c>
      <c r="E830" t="s">
        <v>402</v>
      </c>
      <c r="F830" t="s">
        <v>26</v>
      </c>
      <c r="G830" t="s">
        <v>14</v>
      </c>
      <c r="H830" t="s">
        <v>15</v>
      </c>
      <c r="I830" t="s">
        <v>27</v>
      </c>
      <c r="J830" t="s">
        <v>77</v>
      </c>
      <c r="K830">
        <v>3</v>
      </c>
      <c r="L830" s="4">
        <v>1346.01</v>
      </c>
      <c r="M830">
        <v>174.75</v>
      </c>
    </row>
    <row r="831" spans="1:13" x14ac:dyDescent="0.25">
      <c r="A831">
        <v>10830</v>
      </c>
      <c r="B831" t="str">
        <f t="shared" si="24"/>
        <v>Dec</v>
      </c>
      <c r="C831">
        <f t="shared" si="25"/>
        <v>12</v>
      </c>
      <c r="D831" t="s">
        <v>407</v>
      </c>
      <c r="E831" t="s">
        <v>920</v>
      </c>
      <c r="F831" t="s">
        <v>13</v>
      </c>
      <c r="G831" t="s">
        <v>14</v>
      </c>
      <c r="H831" t="s">
        <v>37</v>
      </c>
      <c r="I831" t="s">
        <v>27</v>
      </c>
      <c r="J831" t="s">
        <v>118</v>
      </c>
      <c r="K831">
        <v>4</v>
      </c>
      <c r="L831" s="4">
        <v>4392.43</v>
      </c>
      <c r="M831">
        <v>359.03</v>
      </c>
    </row>
    <row r="832" spans="1:13" x14ac:dyDescent="0.25">
      <c r="A832">
        <v>10831</v>
      </c>
      <c r="B832" t="str">
        <f t="shared" si="24"/>
        <v>Mar</v>
      </c>
      <c r="C832">
        <f t="shared" si="25"/>
        <v>3</v>
      </c>
      <c r="D832" t="s">
        <v>342</v>
      </c>
      <c r="E832" t="s">
        <v>921</v>
      </c>
      <c r="F832" t="s">
        <v>13</v>
      </c>
      <c r="G832" t="s">
        <v>20</v>
      </c>
      <c r="H832" t="s">
        <v>76</v>
      </c>
      <c r="I832" t="s">
        <v>16</v>
      </c>
      <c r="J832" t="s">
        <v>51</v>
      </c>
      <c r="K832">
        <v>2</v>
      </c>
      <c r="L832" s="4">
        <v>635.44000000000005</v>
      </c>
      <c r="M832">
        <v>42.98</v>
      </c>
    </row>
    <row r="833" spans="1:13" x14ac:dyDescent="0.25">
      <c r="A833">
        <v>10832</v>
      </c>
      <c r="B833" t="str">
        <f t="shared" si="24"/>
        <v>Feb</v>
      </c>
      <c r="C833">
        <f t="shared" si="25"/>
        <v>2</v>
      </c>
      <c r="D833" t="s">
        <v>86</v>
      </c>
      <c r="E833" t="s">
        <v>544</v>
      </c>
      <c r="F833" t="s">
        <v>13</v>
      </c>
      <c r="G833" t="s">
        <v>46</v>
      </c>
      <c r="H833" t="s">
        <v>47</v>
      </c>
      <c r="I833" t="s">
        <v>16</v>
      </c>
      <c r="J833" t="s">
        <v>17</v>
      </c>
      <c r="K833">
        <v>1</v>
      </c>
      <c r="L833" s="4">
        <v>4936.42</v>
      </c>
      <c r="M833">
        <v>1254.17</v>
      </c>
    </row>
    <row r="834" spans="1:13" x14ac:dyDescent="0.25">
      <c r="A834">
        <v>10833</v>
      </c>
      <c r="B834" t="str">
        <f t="shared" ref="B834:B897" si="26">TEXT(D834,"mmm")</f>
        <v>Apr</v>
      </c>
      <c r="C834">
        <f t="shared" ref="C834:C897" si="27">MONTH(D834)</f>
        <v>4</v>
      </c>
      <c r="D834" t="s">
        <v>547</v>
      </c>
      <c r="E834" t="s">
        <v>512</v>
      </c>
      <c r="F834" t="s">
        <v>26</v>
      </c>
      <c r="G834" t="s">
        <v>20</v>
      </c>
      <c r="H834" t="s">
        <v>76</v>
      </c>
      <c r="I834" t="s">
        <v>16</v>
      </c>
      <c r="J834" t="s">
        <v>17</v>
      </c>
      <c r="K834">
        <v>7</v>
      </c>
      <c r="L834" s="4">
        <v>936.11</v>
      </c>
      <c r="M834">
        <v>64.08</v>
      </c>
    </row>
    <row r="835" spans="1:13" x14ac:dyDescent="0.25">
      <c r="A835">
        <v>10834</v>
      </c>
      <c r="B835" t="str">
        <f t="shared" si="26"/>
        <v>Apr</v>
      </c>
      <c r="C835">
        <f t="shared" si="27"/>
        <v>4</v>
      </c>
      <c r="D835" t="s">
        <v>403</v>
      </c>
      <c r="E835" t="s">
        <v>922</v>
      </c>
      <c r="F835" t="s">
        <v>31</v>
      </c>
      <c r="G835" t="s">
        <v>14</v>
      </c>
      <c r="H835" t="s">
        <v>37</v>
      </c>
      <c r="I835" t="s">
        <v>16</v>
      </c>
      <c r="J835" t="s">
        <v>43</v>
      </c>
      <c r="K835">
        <v>3</v>
      </c>
      <c r="L835" s="4">
        <v>1084.6099999999999</v>
      </c>
      <c r="M835">
        <v>176.65</v>
      </c>
    </row>
    <row r="836" spans="1:13" x14ac:dyDescent="0.25">
      <c r="A836">
        <v>10835</v>
      </c>
      <c r="B836" t="str">
        <f t="shared" si="26"/>
        <v>Jun</v>
      </c>
      <c r="C836">
        <f t="shared" si="27"/>
        <v>6</v>
      </c>
      <c r="D836" t="s">
        <v>274</v>
      </c>
      <c r="E836" t="s">
        <v>923</v>
      </c>
      <c r="F836" t="s">
        <v>13</v>
      </c>
      <c r="G836" t="s">
        <v>20</v>
      </c>
      <c r="H836" t="s">
        <v>21</v>
      </c>
      <c r="I836" t="s">
        <v>16</v>
      </c>
      <c r="J836" t="s">
        <v>43</v>
      </c>
      <c r="K836">
        <v>2</v>
      </c>
      <c r="L836" s="4">
        <v>1536.32</v>
      </c>
      <c r="M836">
        <v>194.22</v>
      </c>
    </row>
    <row r="837" spans="1:13" x14ac:dyDescent="0.25">
      <c r="A837">
        <v>10836</v>
      </c>
      <c r="B837" t="str">
        <f t="shared" si="26"/>
        <v>Oct</v>
      </c>
      <c r="C837">
        <f t="shared" si="27"/>
        <v>10</v>
      </c>
      <c r="D837" t="s">
        <v>817</v>
      </c>
      <c r="E837" t="s">
        <v>678</v>
      </c>
      <c r="F837" t="s">
        <v>26</v>
      </c>
      <c r="G837" t="s">
        <v>46</v>
      </c>
      <c r="H837" t="s">
        <v>47</v>
      </c>
      <c r="I837" t="s">
        <v>27</v>
      </c>
      <c r="J837" t="s">
        <v>118</v>
      </c>
      <c r="K837">
        <v>1</v>
      </c>
      <c r="L837" s="4">
        <v>399.18</v>
      </c>
      <c r="M837">
        <v>94.26</v>
      </c>
    </row>
    <row r="838" spans="1:13" x14ac:dyDescent="0.25">
      <c r="A838">
        <v>10837</v>
      </c>
      <c r="B838" t="str">
        <f t="shared" si="26"/>
        <v>Sep</v>
      </c>
      <c r="C838">
        <f t="shared" si="27"/>
        <v>9</v>
      </c>
      <c r="D838" t="s">
        <v>281</v>
      </c>
      <c r="E838" t="s">
        <v>654</v>
      </c>
      <c r="F838" t="s">
        <v>31</v>
      </c>
      <c r="G838" t="s">
        <v>14</v>
      </c>
      <c r="H838" t="s">
        <v>15</v>
      </c>
      <c r="I838" t="s">
        <v>16</v>
      </c>
      <c r="J838" t="s">
        <v>81</v>
      </c>
      <c r="K838">
        <v>7</v>
      </c>
      <c r="L838" s="4">
        <v>3054.63</v>
      </c>
      <c r="M838">
        <v>830.25</v>
      </c>
    </row>
    <row r="839" spans="1:13" x14ac:dyDescent="0.25">
      <c r="A839">
        <v>10838</v>
      </c>
      <c r="B839" t="str">
        <f t="shared" si="26"/>
        <v>Jul</v>
      </c>
      <c r="C839">
        <f t="shared" si="27"/>
        <v>7</v>
      </c>
      <c r="D839" t="s">
        <v>924</v>
      </c>
      <c r="E839" t="s">
        <v>125</v>
      </c>
      <c r="F839" t="s">
        <v>26</v>
      </c>
      <c r="G839" t="s">
        <v>20</v>
      </c>
      <c r="H839" t="s">
        <v>76</v>
      </c>
      <c r="I839" t="s">
        <v>27</v>
      </c>
      <c r="J839" t="s">
        <v>28</v>
      </c>
      <c r="K839">
        <v>6</v>
      </c>
      <c r="L839" s="4">
        <v>4102.55</v>
      </c>
      <c r="M839">
        <v>1103.74</v>
      </c>
    </row>
    <row r="840" spans="1:13" x14ac:dyDescent="0.25">
      <c r="A840">
        <v>10839</v>
      </c>
      <c r="B840" t="str">
        <f t="shared" si="26"/>
        <v>Mar</v>
      </c>
      <c r="C840">
        <f t="shared" si="27"/>
        <v>3</v>
      </c>
      <c r="D840" t="s">
        <v>49</v>
      </c>
      <c r="E840" t="s">
        <v>321</v>
      </c>
      <c r="F840" t="s">
        <v>13</v>
      </c>
      <c r="G840" t="s">
        <v>32</v>
      </c>
      <c r="H840" t="s">
        <v>54</v>
      </c>
      <c r="I840" t="s">
        <v>22</v>
      </c>
      <c r="J840" t="s">
        <v>23</v>
      </c>
      <c r="K840">
        <v>8</v>
      </c>
      <c r="L840" s="4">
        <v>4365.6499999999996</v>
      </c>
      <c r="M840">
        <v>573.28</v>
      </c>
    </row>
    <row r="841" spans="1:13" x14ac:dyDescent="0.25">
      <c r="A841">
        <v>10840</v>
      </c>
      <c r="B841" t="str">
        <f t="shared" si="26"/>
        <v>Sep</v>
      </c>
      <c r="C841">
        <f t="shared" si="27"/>
        <v>9</v>
      </c>
      <c r="D841" t="s">
        <v>69</v>
      </c>
      <c r="E841" t="s">
        <v>387</v>
      </c>
      <c r="F841" t="s">
        <v>13</v>
      </c>
      <c r="G841" t="s">
        <v>14</v>
      </c>
      <c r="H841" t="s">
        <v>37</v>
      </c>
      <c r="I841" t="s">
        <v>16</v>
      </c>
      <c r="J841" t="s">
        <v>43</v>
      </c>
      <c r="K841">
        <v>6</v>
      </c>
      <c r="L841" s="4">
        <v>2314.4</v>
      </c>
      <c r="M841">
        <v>425.76</v>
      </c>
    </row>
    <row r="842" spans="1:13" x14ac:dyDescent="0.25">
      <c r="A842">
        <v>10841</v>
      </c>
      <c r="B842" t="str">
        <f t="shared" si="26"/>
        <v>Jun</v>
      </c>
      <c r="C842">
        <f t="shared" si="27"/>
        <v>6</v>
      </c>
      <c r="D842" t="s">
        <v>843</v>
      </c>
      <c r="E842" t="s">
        <v>770</v>
      </c>
      <c r="F842" t="s">
        <v>31</v>
      </c>
      <c r="G842" t="s">
        <v>46</v>
      </c>
      <c r="H842" t="s">
        <v>71</v>
      </c>
      <c r="I842" t="s">
        <v>16</v>
      </c>
      <c r="J842" t="s">
        <v>17</v>
      </c>
      <c r="K842">
        <v>1</v>
      </c>
      <c r="L842" s="4">
        <v>3205.51</v>
      </c>
      <c r="M842">
        <v>763.27</v>
      </c>
    </row>
    <row r="843" spans="1:13" x14ac:dyDescent="0.25">
      <c r="A843">
        <v>10842</v>
      </c>
      <c r="B843" t="str">
        <f t="shared" si="26"/>
        <v>Dec</v>
      </c>
      <c r="C843">
        <f t="shared" si="27"/>
        <v>12</v>
      </c>
      <c r="D843" t="s">
        <v>63</v>
      </c>
      <c r="E843" t="s">
        <v>137</v>
      </c>
      <c r="F843" t="s">
        <v>13</v>
      </c>
      <c r="G843" t="s">
        <v>46</v>
      </c>
      <c r="H843" t="s">
        <v>47</v>
      </c>
      <c r="I843" t="s">
        <v>27</v>
      </c>
      <c r="J843" t="s">
        <v>118</v>
      </c>
      <c r="K843">
        <v>6</v>
      </c>
      <c r="L843" s="4">
        <v>2196.79</v>
      </c>
      <c r="M843">
        <v>528.32000000000005</v>
      </c>
    </row>
    <row r="844" spans="1:13" x14ac:dyDescent="0.25">
      <c r="A844">
        <v>10843</v>
      </c>
      <c r="B844" t="str">
        <f t="shared" si="26"/>
        <v>Sep</v>
      </c>
      <c r="C844">
        <f t="shared" si="27"/>
        <v>9</v>
      </c>
      <c r="D844" t="s">
        <v>243</v>
      </c>
      <c r="E844" t="s">
        <v>780</v>
      </c>
      <c r="F844" t="s">
        <v>26</v>
      </c>
      <c r="G844" t="s">
        <v>14</v>
      </c>
      <c r="H844" t="s">
        <v>37</v>
      </c>
      <c r="I844" t="s">
        <v>27</v>
      </c>
      <c r="J844" t="s">
        <v>104</v>
      </c>
      <c r="K844">
        <v>3</v>
      </c>
      <c r="L844" s="4">
        <v>4362.3100000000004</v>
      </c>
      <c r="M844">
        <v>1095.23</v>
      </c>
    </row>
    <row r="845" spans="1:13" x14ac:dyDescent="0.25">
      <c r="A845">
        <v>10844</v>
      </c>
      <c r="B845" t="str">
        <f t="shared" si="26"/>
        <v>Oct</v>
      </c>
      <c r="C845">
        <f t="shared" si="27"/>
        <v>10</v>
      </c>
      <c r="D845" t="s">
        <v>410</v>
      </c>
      <c r="E845" t="s">
        <v>62</v>
      </c>
      <c r="F845" t="s">
        <v>26</v>
      </c>
      <c r="G845" t="s">
        <v>20</v>
      </c>
      <c r="H845" t="s">
        <v>21</v>
      </c>
      <c r="I845" t="s">
        <v>27</v>
      </c>
      <c r="J845" t="s">
        <v>77</v>
      </c>
      <c r="K845">
        <v>3</v>
      </c>
      <c r="L845" s="4">
        <v>4492.3999999999996</v>
      </c>
      <c r="M845">
        <v>1249.02</v>
      </c>
    </row>
    <row r="846" spans="1:13" x14ac:dyDescent="0.25">
      <c r="A846">
        <v>10845</v>
      </c>
      <c r="B846" t="str">
        <f t="shared" si="26"/>
        <v>Jun</v>
      </c>
      <c r="C846">
        <f t="shared" si="27"/>
        <v>6</v>
      </c>
      <c r="D846" t="s">
        <v>497</v>
      </c>
      <c r="E846" t="s">
        <v>488</v>
      </c>
      <c r="F846" t="s">
        <v>31</v>
      </c>
      <c r="G846" t="s">
        <v>46</v>
      </c>
      <c r="H846" t="s">
        <v>71</v>
      </c>
      <c r="I846" t="s">
        <v>16</v>
      </c>
      <c r="J846" t="s">
        <v>81</v>
      </c>
      <c r="K846">
        <v>2</v>
      </c>
      <c r="L846" s="4">
        <v>2230.98</v>
      </c>
      <c r="M846">
        <v>494.74</v>
      </c>
    </row>
    <row r="847" spans="1:13" x14ac:dyDescent="0.25">
      <c r="A847">
        <v>10846</v>
      </c>
      <c r="B847" t="str">
        <f t="shared" si="26"/>
        <v>Sep</v>
      </c>
      <c r="C847">
        <f t="shared" si="27"/>
        <v>9</v>
      </c>
      <c r="D847" t="s">
        <v>586</v>
      </c>
      <c r="E847" t="s">
        <v>222</v>
      </c>
      <c r="F847" t="s">
        <v>13</v>
      </c>
      <c r="G847" t="s">
        <v>46</v>
      </c>
      <c r="H847" t="s">
        <v>47</v>
      </c>
      <c r="I847" t="s">
        <v>16</v>
      </c>
      <c r="J847" t="s">
        <v>51</v>
      </c>
      <c r="K847">
        <v>2</v>
      </c>
      <c r="L847" s="4">
        <v>3360.83</v>
      </c>
      <c r="M847">
        <v>879.98</v>
      </c>
    </row>
    <row r="848" spans="1:13" x14ac:dyDescent="0.25">
      <c r="A848">
        <v>10847</v>
      </c>
      <c r="B848" t="str">
        <f t="shared" si="26"/>
        <v>Jul</v>
      </c>
      <c r="C848">
        <f t="shared" si="27"/>
        <v>7</v>
      </c>
      <c r="D848" t="s">
        <v>563</v>
      </c>
      <c r="E848" t="s">
        <v>619</v>
      </c>
      <c r="F848" t="s">
        <v>13</v>
      </c>
      <c r="G848" t="s">
        <v>32</v>
      </c>
      <c r="H848" t="s">
        <v>33</v>
      </c>
      <c r="I848" t="s">
        <v>16</v>
      </c>
      <c r="J848" t="s">
        <v>81</v>
      </c>
      <c r="K848">
        <v>6</v>
      </c>
      <c r="L848" s="4">
        <v>1947.35</v>
      </c>
      <c r="M848">
        <v>373.05</v>
      </c>
    </row>
    <row r="849" spans="1:13" x14ac:dyDescent="0.25">
      <c r="A849">
        <v>10848</v>
      </c>
      <c r="B849" t="str">
        <f t="shared" si="26"/>
        <v>Oct</v>
      </c>
      <c r="C849">
        <f t="shared" si="27"/>
        <v>10</v>
      </c>
      <c r="D849" t="s">
        <v>344</v>
      </c>
      <c r="E849" t="s">
        <v>787</v>
      </c>
      <c r="F849" t="s">
        <v>13</v>
      </c>
      <c r="G849" t="s">
        <v>20</v>
      </c>
      <c r="H849" t="s">
        <v>21</v>
      </c>
      <c r="I849" t="s">
        <v>22</v>
      </c>
      <c r="J849" t="s">
        <v>38</v>
      </c>
      <c r="K849">
        <v>2</v>
      </c>
      <c r="L849" s="4">
        <v>1525.78</v>
      </c>
      <c r="M849">
        <v>84.75</v>
      </c>
    </row>
    <row r="850" spans="1:13" x14ac:dyDescent="0.25">
      <c r="A850">
        <v>10849</v>
      </c>
      <c r="B850" t="str">
        <f t="shared" si="26"/>
        <v>Oct</v>
      </c>
      <c r="C850">
        <f t="shared" si="27"/>
        <v>10</v>
      </c>
      <c r="D850" t="s">
        <v>110</v>
      </c>
      <c r="E850" t="s">
        <v>646</v>
      </c>
      <c r="F850" t="s">
        <v>31</v>
      </c>
      <c r="G850" t="s">
        <v>14</v>
      </c>
      <c r="H850" t="s">
        <v>37</v>
      </c>
      <c r="I850" t="s">
        <v>22</v>
      </c>
      <c r="J850" t="s">
        <v>38</v>
      </c>
      <c r="K850">
        <v>7</v>
      </c>
      <c r="L850" s="4">
        <v>2926.89</v>
      </c>
      <c r="M850">
        <v>141.38</v>
      </c>
    </row>
    <row r="851" spans="1:13" x14ac:dyDescent="0.25">
      <c r="A851">
        <v>10850</v>
      </c>
      <c r="B851" t="str">
        <f t="shared" si="26"/>
        <v>Jun</v>
      </c>
      <c r="C851">
        <f t="shared" si="27"/>
        <v>6</v>
      </c>
      <c r="D851" t="s">
        <v>925</v>
      </c>
      <c r="E851" t="s">
        <v>755</v>
      </c>
      <c r="F851" t="s">
        <v>31</v>
      </c>
      <c r="G851" t="s">
        <v>20</v>
      </c>
      <c r="H851" t="s">
        <v>76</v>
      </c>
      <c r="I851" t="s">
        <v>27</v>
      </c>
      <c r="J851" t="s">
        <v>104</v>
      </c>
      <c r="K851">
        <v>4</v>
      </c>
      <c r="L851" s="4">
        <v>622.27</v>
      </c>
      <c r="M851">
        <v>-52.69</v>
      </c>
    </row>
    <row r="852" spans="1:13" x14ac:dyDescent="0.25">
      <c r="A852">
        <v>10851</v>
      </c>
      <c r="B852" t="str">
        <f t="shared" si="26"/>
        <v>Dec</v>
      </c>
      <c r="C852">
        <f t="shared" si="27"/>
        <v>12</v>
      </c>
      <c r="D852" t="s">
        <v>405</v>
      </c>
      <c r="E852" t="s">
        <v>926</v>
      </c>
      <c r="F852" t="s">
        <v>13</v>
      </c>
      <c r="G852" t="s">
        <v>46</v>
      </c>
      <c r="H852" t="s">
        <v>47</v>
      </c>
      <c r="I852" t="s">
        <v>16</v>
      </c>
      <c r="J852" t="s">
        <v>51</v>
      </c>
      <c r="K852">
        <v>3</v>
      </c>
      <c r="L852" s="4">
        <v>3047.18</v>
      </c>
      <c r="M852">
        <v>196.95</v>
      </c>
    </row>
    <row r="853" spans="1:13" x14ac:dyDescent="0.25">
      <c r="A853">
        <v>10852</v>
      </c>
      <c r="B853" t="str">
        <f t="shared" si="26"/>
        <v>Apr</v>
      </c>
      <c r="C853">
        <f t="shared" si="27"/>
        <v>4</v>
      </c>
      <c r="D853" t="s">
        <v>865</v>
      </c>
      <c r="E853" t="s">
        <v>474</v>
      </c>
      <c r="F853" t="s">
        <v>31</v>
      </c>
      <c r="G853" t="s">
        <v>32</v>
      </c>
      <c r="H853" t="s">
        <v>54</v>
      </c>
      <c r="I853" t="s">
        <v>16</v>
      </c>
      <c r="J853" t="s">
        <v>81</v>
      </c>
      <c r="K853">
        <v>5</v>
      </c>
      <c r="L853" s="4">
        <v>4984.5600000000004</v>
      </c>
      <c r="M853">
        <v>1081.83</v>
      </c>
    </row>
    <row r="854" spans="1:13" x14ac:dyDescent="0.25">
      <c r="A854">
        <v>10853</v>
      </c>
      <c r="B854" t="str">
        <f t="shared" si="26"/>
        <v>Jan</v>
      </c>
      <c r="C854">
        <f t="shared" si="27"/>
        <v>1</v>
      </c>
      <c r="D854" t="s">
        <v>639</v>
      </c>
      <c r="E854" t="s">
        <v>747</v>
      </c>
      <c r="F854" t="s">
        <v>26</v>
      </c>
      <c r="G854" t="s">
        <v>20</v>
      </c>
      <c r="H854" t="s">
        <v>21</v>
      </c>
      <c r="I854" t="s">
        <v>27</v>
      </c>
      <c r="J854" t="s">
        <v>104</v>
      </c>
      <c r="K854">
        <v>4</v>
      </c>
      <c r="L854" s="4">
        <v>4255.54</v>
      </c>
      <c r="M854">
        <v>1184.4000000000001</v>
      </c>
    </row>
    <row r="855" spans="1:13" x14ac:dyDescent="0.25">
      <c r="A855">
        <v>10854</v>
      </c>
      <c r="B855" t="str">
        <f t="shared" si="26"/>
        <v>Jun</v>
      </c>
      <c r="C855">
        <f t="shared" si="27"/>
        <v>6</v>
      </c>
      <c r="D855" t="s">
        <v>927</v>
      </c>
      <c r="E855" t="s">
        <v>590</v>
      </c>
      <c r="F855" t="s">
        <v>31</v>
      </c>
      <c r="G855" t="s">
        <v>20</v>
      </c>
      <c r="H855" t="s">
        <v>76</v>
      </c>
      <c r="I855" t="s">
        <v>27</v>
      </c>
      <c r="J855" t="s">
        <v>104</v>
      </c>
      <c r="K855">
        <v>1</v>
      </c>
      <c r="L855" s="4">
        <v>2784.92</v>
      </c>
      <c r="M855">
        <v>306.37</v>
      </c>
    </row>
    <row r="856" spans="1:13" x14ac:dyDescent="0.25">
      <c r="A856">
        <v>10855</v>
      </c>
      <c r="B856" t="str">
        <f t="shared" si="26"/>
        <v>Jul</v>
      </c>
      <c r="C856">
        <f t="shared" si="27"/>
        <v>7</v>
      </c>
      <c r="D856" t="s">
        <v>703</v>
      </c>
      <c r="E856" t="s">
        <v>73</v>
      </c>
      <c r="F856" t="s">
        <v>26</v>
      </c>
      <c r="G856" t="s">
        <v>20</v>
      </c>
      <c r="H856" t="s">
        <v>21</v>
      </c>
      <c r="I856" t="s">
        <v>16</v>
      </c>
      <c r="J856" t="s">
        <v>17</v>
      </c>
      <c r="K856">
        <v>5</v>
      </c>
      <c r="L856" s="4">
        <v>3512.24</v>
      </c>
      <c r="M856">
        <v>261.29000000000002</v>
      </c>
    </row>
    <row r="857" spans="1:13" x14ac:dyDescent="0.25">
      <c r="A857">
        <v>10856</v>
      </c>
      <c r="B857" t="str">
        <f t="shared" si="26"/>
        <v>Sep</v>
      </c>
      <c r="C857">
        <f t="shared" si="27"/>
        <v>9</v>
      </c>
      <c r="D857" t="s">
        <v>928</v>
      </c>
      <c r="E857" t="s">
        <v>425</v>
      </c>
      <c r="F857" t="s">
        <v>26</v>
      </c>
      <c r="G857" t="s">
        <v>32</v>
      </c>
      <c r="H857" t="s">
        <v>33</v>
      </c>
      <c r="I857" t="s">
        <v>16</v>
      </c>
      <c r="J857" t="s">
        <v>17</v>
      </c>
      <c r="K857">
        <v>8</v>
      </c>
      <c r="L857" s="4">
        <v>3307.71</v>
      </c>
      <c r="M857">
        <v>598.46</v>
      </c>
    </row>
    <row r="858" spans="1:13" x14ac:dyDescent="0.25">
      <c r="A858">
        <v>10857</v>
      </c>
      <c r="B858" t="str">
        <f t="shared" si="26"/>
        <v>Mar</v>
      </c>
      <c r="C858">
        <f t="shared" si="27"/>
        <v>3</v>
      </c>
      <c r="D858" t="s">
        <v>929</v>
      </c>
      <c r="E858" t="s">
        <v>625</v>
      </c>
      <c r="F858" t="s">
        <v>31</v>
      </c>
      <c r="G858" t="s">
        <v>46</v>
      </c>
      <c r="H858" t="s">
        <v>71</v>
      </c>
      <c r="I858" t="s">
        <v>16</v>
      </c>
      <c r="J858" t="s">
        <v>43</v>
      </c>
      <c r="K858">
        <v>1</v>
      </c>
      <c r="L858" s="4">
        <v>1874.91</v>
      </c>
      <c r="M858">
        <v>484.85</v>
      </c>
    </row>
    <row r="859" spans="1:13" x14ac:dyDescent="0.25">
      <c r="A859">
        <v>10858</v>
      </c>
      <c r="B859" t="str">
        <f t="shared" si="26"/>
        <v>Nov</v>
      </c>
      <c r="C859">
        <f t="shared" si="27"/>
        <v>11</v>
      </c>
      <c r="D859" t="s">
        <v>18</v>
      </c>
      <c r="E859" t="s">
        <v>207</v>
      </c>
      <c r="F859" t="s">
        <v>13</v>
      </c>
      <c r="G859" t="s">
        <v>46</v>
      </c>
      <c r="H859" t="s">
        <v>71</v>
      </c>
      <c r="I859" t="s">
        <v>22</v>
      </c>
      <c r="J859" t="s">
        <v>38</v>
      </c>
      <c r="K859">
        <v>8</v>
      </c>
      <c r="L859" s="4">
        <v>980.2</v>
      </c>
      <c r="M859">
        <v>-36.159999999999997</v>
      </c>
    </row>
    <row r="860" spans="1:13" x14ac:dyDescent="0.25">
      <c r="A860">
        <v>10859</v>
      </c>
      <c r="B860" t="str">
        <f t="shared" si="26"/>
        <v>Dec</v>
      </c>
      <c r="C860">
        <f t="shared" si="27"/>
        <v>12</v>
      </c>
      <c r="D860" t="s">
        <v>463</v>
      </c>
      <c r="E860" t="s">
        <v>930</v>
      </c>
      <c r="F860" t="s">
        <v>26</v>
      </c>
      <c r="G860" t="s">
        <v>20</v>
      </c>
      <c r="H860" t="s">
        <v>21</v>
      </c>
      <c r="I860" t="s">
        <v>16</v>
      </c>
      <c r="J860" t="s">
        <v>51</v>
      </c>
      <c r="K860">
        <v>4</v>
      </c>
      <c r="L860" s="4">
        <v>266.56</v>
      </c>
      <c r="M860">
        <v>-19.48</v>
      </c>
    </row>
    <row r="861" spans="1:13" x14ac:dyDescent="0.25">
      <c r="A861">
        <v>10860</v>
      </c>
      <c r="B861" t="str">
        <f t="shared" si="26"/>
        <v>Mar</v>
      </c>
      <c r="C861">
        <f t="shared" si="27"/>
        <v>3</v>
      </c>
      <c r="D861" t="s">
        <v>931</v>
      </c>
      <c r="E861" t="s">
        <v>932</v>
      </c>
      <c r="F861" t="s">
        <v>26</v>
      </c>
      <c r="G861" t="s">
        <v>20</v>
      </c>
      <c r="H861" t="s">
        <v>21</v>
      </c>
      <c r="I861" t="s">
        <v>27</v>
      </c>
      <c r="J861" t="s">
        <v>77</v>
      </c>
      <c r="K861">
        <v>5</v>
      </c>
      <c r="L861" s="4">
        <v>3198.43</v>
      </c>
      <c r="M861">
        <v>514.67999999999995</v>
      </c>
    </row>
    <row r="862" spans="1:13" x14ac:dyDescent="0.25">
      <c r="A862">
        <v>10861</v>
      </c>
      <c r="B862" t="str">
        <f t="shared" si="26"/>
        <v>Jul</v>
      </c>
      <c r="C862">
        <f t="shared" si="27"/>
        <v>7</v>
      </c>
      <c r="D862" t="s">
        <v>567</v>
      </c>
      <c r="E862" t="s">
        <v>875</v>
      </c>
      <c r="F862" t="s">
        <v>13</v>
      </c>
      <c r="G862" t="s">
        <v>20</v>
      </c>
      <c r="H862" t="s">
        <v>21</v>
      </c>
      <c r="I862" t="s">
        <v>22</v>
      </c>
      <c r="J862" t="s">
        <v>34</v>
      </c>
      <c r="K862">
        <v>5</v>
      </c>
      <c r="L862" s="4">
        <v>3499.26</v>
      </c>
      <c r="M862">
        <v>198.39</v>
      </c>
    </row>
    <row r="863" spans="1:13" x14ac:dyDescent="0.25">
      <c r="A863">
        <v>10862</v>
      </c>
      <c r="B863" t="str">
        <f t="shared" si="26"/>
        <v>Oct</v>
      </c>
      <c r="C863">
        <f t="shared" si="27"/>
        <v>10</v>
      </c>
      <c r="D863" t="s">
        <v>114</v>
      </c>
      <c r="E863" t="s">
        <v>530</v>
      </c>
      <c r="F863" t="s">
        <v>31</v>
      </c>
      <c r="G863" t="s">
        <v>20</v>
      </c>
      <c r="H863" t="s">
        <v>76</v>
      </c>
      <c r="I863" t="s">
        <v>16</v>
      </c>
      <c r="J863" t="s">
        <v>43</v>
      </c>
      <c r="K863">
        <v>2</v>
      </c>
      <c r="L863" s="4">
        <v>1693.62</v>
      </c>
      <c r="M863">
        <v>300.67</v>
      </c>
    </row>
    <row r="864" spans="1:13" x14ac:dyDescent="0.25">
      <c r="A864">
        <v>10863</v>
      </c>
      <c r="B864" t="str">
        <f t="shared" si="26"/>
        <v>Nov</v>
      </c>
      <c r="C864">
        <f t="shared" si="27"/>
        <v>11</v>
      </c>
      <c r="D864" t="s">
        <v>146</v>
      </c>
      <c r="E864" t="s">
        <v>804</v>
      </c>
      <c r="F864" t="s">
        <v>26</v>
      </c>
      <c r="G864" t="s">
        <v>14</v>
      </c>
      <c r="H864" t="s">
        <v>37</v>
      </c>
      <c r="I864" t="s">
        <v>16</v>
      </c>
      <c r="J864" t="s">
        <v>51</v>
      </c>
      <c r="K864">
        <v>2</v>
      </c>
      <c r="L864" s="4">
        <v>2642.62</v>
      </c>
      <c r="M864">
        <v>447.06</v>
      </c>
    </row>
    <row r="865" spans="1:13" x14ac:dyDescent="0.25">
      <c r="A865">
        <v>10864</v>
      </c>
      <c r="B865" t="str">
        <f t="shared" si="26"/>
        <v>Mar</v>
      </c>
      <c r="C865">
        <f t="shared" si="27"/>
        <v>3</v>
      </c>
      <c r="D865" t="s">
        <v>745</v>
      </c>
      <c r="E865" t="s">
        <v>933</v>
      </c>
      <c r="F865" t="s">
        <v>26</v>
      </c>
      <c r="G865" t="s">
        <v>14</v>
      </c>
      <c r="H865" t="s">
        <v>15</v>
      </c>
      <c r="I865" t="s">
        <v>16</v>
      </c>
      <c r="J865" t="s">
        <v>43</v>
      </c>
      <c r="K865">
        <v>1</v>
      </c>
      <c r="L865" s="4">
        <v>2818.14</v>
      </c>
      <c r="M865">
        <v>692.59</v>
      </c>
    </row>
    <row r="866" spans="1:13" x14ac:dyDescent="0.25">
      <c r="A866">
        <v>10865</v>
      </c>
      <c r="B866" t="str">
        <f t="shared" si="26"/>
        <v>Oct</v>
      </c>
      <c r="C866">
        <f t="shared" si="27"/>
        <v>10</v>
      </c>
      <c r="D866" t="s">
        <v>201</v>
      </c>
      <c r="E866" t="s">
        <v>406</v>
      </c>
      <c r="F866" t="s">
        <v>31</v>
      </c>
      <c r="G866" t="s">
        <v>46</v>
      </c>
      <c r="H866" t="s">
        <v>71</v>
      </c>
      <c r="I866" t="s">
        <v>16</v>
      </c>
      <c r="J866" t="s">
        <v>17</v>
      </c>
      <c r="K866">
        <v>1</v>
      </c>
      <c r="L866" s="4">
        <v>514.59</v>
      </c>
      <c r="M866">
        <v>11.92</v>
      </c>
    </row>
    <row r="867" spans="1:13" x14ac:dyDescent="0.25">
      <c r="A867">
        <v>10866</v>
      </c>
      <c r="B867" t="str">
        <f t="shared" si="26"/>
        <v>Dec</v>
      </c>
      <c r="C867">
        <f t="shared" si="27"/>
        <v>12</v>
      </c>
      <c r="D867" t="s">
        <v>573</v>
      </c>
      <c r="E867" t="s">
        <v>598</v>
      </c>
      <c r="F867" t="s">
        <v>13</v>
      </c>
      <c r="G867" t="s">
        <v>14</v>
      </c>
      <c r="H867" t="s">
        <v>15</v>
      </c>
      <c r="I867" t="s">
        <v>27</v>
      </c>
      <c r="J867" t="s">
        <v>118</v>
      </c>
      <c r="K867">
        <v>5</v>
      </c>
      <c r="L867" s="4">
        <v>3329.87</v>
      </c>
      <c r="M867">
        <v>479.17</v>
      </c>
    </row>
    <row r="868" spans="1:13" x14ac:dyDescent="0.25">
      <c r="A868">
        <v>10867</v>
      </c>
      <c r="B868" t="str">
        <f t="shared" si="26"/>
        <v>Apr</v>
      </c>
      <c r="C868">
        <f t="shared" si="27"/>
        <v>4</v>
      </c>
      <c r="D868" t="s">
        <v>865</v>
      </c>
      <c r="E868" t="s">
        <v>934</v>
      </c>
      <c r="F868" t="s">
        <v>13</v>
      </c>
      <c r="G868" t="s">
        <v>32</v>
      </c>
      <c r="H868" t="s">
        <v>33</v>
      </c>
      <c r="I868" t="s">
        <v>16</v>
      </c>
      <c r="J868" t="s">
        <v>81</v>
      </c>
      <c r="K868">
        <v>1</v>
      </c>
      <c r="L868" s="4">
        <v>1261.79</v>
      </c>
      <c r="M868">
        <v>92.45</v>
      </c>
    </row>
    <row r="869" spans="1:13" x14ac:dyDescent="0.25">
      <c r="A869">
        <v>10868</v>
      </c>
      <c r="B869" t="str">
        <f t="shared" si="26"/>
        <v>Mar</v>
      </c>
      <c r="C869">
        <f t="shared" si="27"/>
        <v>3</v>
      </c>
      <c r="D869" t="s">
        <v>668</v>
      </c>
      <c r="E869" t="s">
        <v>935</v>
      </c>
      <c r="F869" t="s">
        <v>31</v>
      </c>
      <c r="G869" t="s">
        <v>46</v>
      </c>
      <c r="H869" t="s">
        <v>47</v>
      </c>
      <c r="I869" t="s">
        <v>27</v>
      </c>
      <c r="J869" t="s">
        <v>104</v>
      </c>
      <c r="K869">
        <v>7</v>
      </c>
      <c r="L869" s="4">
        <v>464.36</v>
      </c>
      <c r="M869">
        <v>14.64</v>
      </c>
    </row>
    <row r="870" spans="1:13" x14ac:dyDescent="0.25">
      <c r="A870">
        <v>10869</v>
      </c>
      <c r="B870" t="str">
        <f t="shared" si="26"/>
        <v>Nov</v>
      </c>
      <c r="C870">
        <f t="shared" si="27"/>
        <v>11</v>
      </c>
      <c r="D870" t="s">
        <v>209</v>
      </c>
      <c r="E870" t="s">
        <v>788</v>
      </c>
      <c r="F870" t="s">
        <v>13</v>
      </c>
      <c r="G870" t="s">
        <v>14</v>
      </c>
      <c r="H870" t="s">
        <v>37</v>
      </c>
      <c r="I870" t="s">
        <v>16</v>
      </c>
      <c r="J870" t="s">
        <v>51</v>
      </c>
      <c r="K870">
        <v>3</v>
      </c>
      <c r="L870" s="4">
        <v>2725.93</v>
      </c>
      <c r="M870">
        <v>111.11</v>
      </c>
    </row>
    <row r="871" spans="1:13" x14ac:dyDescent="0.25">
      <c r="A871">
        <v>10870</v>
      </c>
      <c r="B871" t="str">
        <f t="shared" si="26"/>
        <v>Jul</v>
      </c>
      <c r="C871">
        <f t="shared" si="27"/>
        <v>7</v>
      </c>
      <c r="D871" t="s">
        <v>144</v>
      </c>
      <c r="E871" t="s">
        <v>321</v>
      </c>
      <c r="F871" t="s">
        <v>13</v>
      </c>
      <c r="G871" t="s">
        <v>46</v>
      </c>
      <c r="H871" t="s">
        <v>47</v>
      </c>
      <c r="I871" t="s">
        <v>16</v>
      </c>
      <c r="J871" t="s">
        <v>43</v>
      </c>
      <c r="K871">
        <v>7</v>
      </c>
      <c r="L871" s="4">
        <v>4125.68</v>
      </c>
      <c r="M871">
        <v>453.81</v>
      </c>
    </row>
    <row r="872" spans="1:13" x14ac:dyDescent="0.25">
      <c r="A872">
        <v>10871</v>
      </c>
      <c r="B872" t="str">
        <f t="shared" si="26"/>
        <v>Feb</v>
      </c>
      <c r="C872">
        <f t="shared" si="27"/>
        <v>2</v>
      </c>
      <c r="D872" t="s">
        <v>515</v>
      </c>
      <c r="E872" t="s">
        <v>936</v>
      </c>
      <c r="F872" t="s">
        <v>31</v>
      </c>
      <c r="G872" t="s">
        <v>46</v>
      </c>
      <c r="H872" t="s">
        <v>71</v>
      </c>
      <c r="I872" t="s">
        <v>27</v>
      </c>
      <c r="J872" t="s">
        <v>118</v>
      </c>
      <c r="K872">
        <v>2</v>
      </c>
      <c r="L872" s="4">
        <v>3451.5</v>
      </c>
      <c r="M872">
        <v>490.64</v>
      </c>
    </row>
    <row r="873" spans="1:13" x14ac:dyDescent="0.25">
      <c r="A873">
        <v>10872</v>
      </c>
      <c r="B873" t="str">
        <f t="shared" si="26"/>
        <v>Feb</v>
      </c>
      <c r="C873">
        <f t="shared" si="27"/>
        <v>2</v>
      </c>
      <c r="D873" t="s">
        <v>94</v>
      </c>
      <c r="E873" t="s">
        <v>937</v>
      </c>
      <c r="F873" t="s">
        <v>26</v>
      </c>
      <c r="G873" t="s">
        <v>32</v>
      </c>
      <c r="H873" t="s">
        <v>33</v>
      </c>
      <c r="I873" t="s">
        <v>22</v>
      </c>
      <c r="J873" t="s">
        <v>38</v>
      </c>
      <c r="K873">
        <v>1</v>
      </c>
      <c r="L873" s="4">
        <v>579.94000000000005</v>
      </c>
      <c r="M873">
        <v>148.79</v>
      </c>
    </row>
    <row r="874" spans="1:13" x14ac:dyDescent="0.25">
      <c r="A874">
        <v>10873</v>
      </c>
      <c r="B874" t="str">
        <f t="shared" si="26"/>
        <v>Oct</v>
      </c>
      <c r="C874">
        <f t="shared" si="27"/>
        <v>10</v>
      </c>
      <c r="D874" t="s">
        <v>324</v>
      </c>
      <c r="E874" t="s">
        <v>695</v>
      </c>
      <c r="F874" t="s">
        <v>13</v>
      </c>
      <c r="G874" t="s">
        <v>46</v>
      </c>
      <c r="H874" t="s">
        <v>47</v>
      </c>
      <c r="I874" t="s">
        <v>16</v>
      </c>
      <c r="J874" t="s">
        <v>51</v>
      </c>
      <c r="K874">
        <v>2</v>
      </c>
      <c r="L874" s="4">
        <v>2691.9</v>
      </c>
      <c r="M874">
        <v>519.44000000000005</v>
      </c>
    </row>
    <row r="875" spans="1:13" x14ac:dyDescent="0.25">
      <c r="A875">
        <v>10874</v>
      </c>
      <c r="B875" t="str">
        <f t="shared" si="26"/>
        <v>Sep</v>
      </c>
      <c r="C875">
        <f t="shared" si="27"/>
        <v>9</v>
      </c>
      <c r="D875" t="s">
        <v>262</v>
      </c>
      <c r="E875" t="s">
        <v>198</v>
      </c>
      <c r="F875" t="s">
        <v>13</v>
      </c>
      <c r="G875" t="s">
        <v>14</v>
      </c>
      <c r="H875" t="s">
        <v>15</v>
      </c>
      <c r="I875" t="s">
        <v>22</v>
      </c>
      <c r="J875" t="s">
        <v>38</v>
      </c>
      <c r="K875">
        <v>7</v>
      </c>
      <c r="L875" s="4">
        <v>985.3</v>
      </c>
      <c r="M875">
        <v>180.04</v>
      </c>
    </row>
    <row r="876" spans="1:13" x14ac:dyDescent="0.25">
      <c r="A876">
        <v>10875</v>
      </c>
      <c r="B876" t="str">
        <f t="shared" si="26"/>
        <v>Mar</v>
      </c>
      <c r="C876">
        <f t="shared" si="27"/>
        <v>3</v>
      </c>
      <c r="D876" t="s">
        <v>886</v>
      </c>
      <c r="E876" t="s">
        <v>564</v>
      </c>
      <c r="F876" t="s">
        <v>31</v>
      </c>
      <c r="G876" t="s">
        <v>20</v>
      </c>
      <c r="H876" t="s">
        <v>76</v>
      </c>
      <c r="I876" t="s">
        <v>16</v>
      </c>
      <c r="J876" t="s">
        <v>43</v>
      </c>
      <c r="K876">
        <v>5</v>
      </c>
      <c r="L876" s="4">
        <v>146.54</v>
      </c>
      <c r="M876">
        <v>10.59</v>
      </c>
    </row>
    <row r="877" spans="1:13" x14ac:dyDescent="0.25">
      <c r="A877">
        <v>10876</v>
      </c>
      <c r="B877" t="str">
        <f t="shared" si="26"/>
        <v>Aug</v>
      </c>
      <c r="C877">
        <f t="shared" si="27"/>
        <v>8</v>
      </c>
      <c r="D877" t="s">
        <v>641</v>
      </c>
      <c r="E877" t="s">
        <v>938</v>
      </c>
      <c r="F877" t="s">
        <v>31</v>
      </c>
      <c r="G877" t="s">
        <v>32</v>
      </c>
      <c r="H877" t="s">
        <v>33</v>
      </c>
      <c r="I877" t="s">
        <v>16</v>
      </c>
      <c r="J877" t="s">
        <v>17</v>
      </c>
      <c r="K877">
        <v>4</v>
      </c>
      <c r="L877" s="4">
        <v>3423.25</v>
      </c>
      <c r="M877">
        <v>483.32</v>
      </c>
    </row>
    <row r="878" spans="1:13" x14ac:dyDescent="0.25">
      <c r="A878">
        <v>10877</v>
      </c>
      <c r="B878" t="str">
        <f t="shared" si="26"/>
        <v>Jun</v>
      </c>
      <c r="C878">
        <f t="shared" si="27"/>
        <v>6</v>
      </c>
      <c r="D878" t="s">
        <v>112</v>
      </c>
      <c r="E878" t="s">
        <v>939</v>
      </c>
      <c r="F878" t="s">
        <v>26</v>
      </c>
      <c r="G878" t="s">
        <v>32</v>
      </c>
      <c r="H878" t="s">
        <v>54</v>
      </c>
      <c r="I878" t="s">
        <v>27</v>
      </c>
      <c r="J878" t="s">
        <v>104</v>
      </c>
      <c r="K878">
        <v>5</v>
      </c>
      <c r="L878" s="4">
        <v>3214.61</v>
      </c>
      <c r="M878">
        <v>200.04</v>
      </c>
    </row>
    <row r="879" spans="1:13" x14ac:dyDescent="0.25">
      <c r="A879">
        <v>10878</v>
      </c>
      <c r="B879" t="str">
        <f t="shared" si="26"/>
        <v>Oct</v>
      </c>
      <c r="C879">
        <f t="shared" si="27"/>
        <v>10</v>
      </c>
      <c r="D879" t="s">
        <v>67</v>
      </c>
      <c r="E879" t="s">
        <v>723</v>
      </c>
      <c r="F879" t="s">
        <v>26</v>
      </c>
      <c r="G879" t="s">
        <v>14</v>
      </c>
      <c r="H879" t="s">
        <v>15</v>
      </c>
      <c r="I879" t="s">
        <v>16</v>
      </c>
      <c r="J879" t="s">
        <v>43</v>
      </c>
      <c r="K879">
        <v>2</v>
      </c>
      <c r="L879" s="4">
        <v>909.05</v>
      </c>
      <c r="M879">
        <v>-15.84</v>
      </c>
    </row>
    <row r="880" spans="1:13" x14ac:dyDescent="0.25">
      <c r="A880">
        <v>10879</v>
      </c>
      <c r="B880" t="str">
        <f t="shared" si="26"/>
        <v>Jan</v>
      </c>
      <c r="C880">
        <f t="shared" si="27"/>
        <v>1</v>
      </c>
      <c r="D880" t="s">
        <v>253</v>
      </c>
      <c r="E880" t="s">
        <v>275</v>
      </c>
      <c r="F880" t="s">
        <v>31</v>
      </c>
      <c r="G880" t="s">
        <v>20</v>
      </c>
      <c r="H880" t="s">
        <v>21</v>
      </c>
      <c r="I880" t="s">
        <v>27</v>
      </c>
      <c r="J880" t="s">
        <v>77</v>
      </c>
      <c r="K880">
        <v>2</v>
      </c>
      <c r="L880" s="4">
        <v>2086.81</v>
      </c>
      <c r="M880">
        <v>334.77</v>
      </c>
    </row>
    <row r="881" spans="1:13" x14ac:dyDescent="0.25">
      <c r="A881">
        <v>10880</v>
      </c>
      <c r="B881" t="str">
        <f t="shared" si="26"/>
        <v>Sep</v>
      </c>
      <c r="C881">
        <f t="shared" si="27"/>
        <v>9</v>
      </c>
      <c r="D881" t="s">
        <v>165</v>
      </c>
      <c r="E881" t="s">
        <v>327</v>
      </c>
      <c r="F881" t="s">
        <v>26</v>
      </c>
      <c r="G881" t="s">
        <v>32</v>
      </c>
      <c r="H881" t="s">
        <v>33</v>
      </c>
      <c r="I881" t="s">
        <v>16</v>
      </c>
      <c r="J881" t="s">
        <v>81</v>
      </c>
      <c r="K881">
        <v>8</v>
      </c>
      <c r="L881" s="4">
        <v>4826.7700000000004</v>
      </c>
      <c r="M881">
        <v>967.09</v>
      </c>
    </row>
    <row r="882" spans="1:13" x14ac:dyDescent="0.25">
      <c r="A882">
        <v>10881</v>
      </c>
      <c r="B882" t="str">
        <f t="shared" si="26"/>
        <v>Feb</v>
      </c>
      <c r="C882">
        <f t="shared" si="27"/>
        <v>2</v>
      </c>
      <c r="D882" t="s">
        <v>374</v>
      </c>
      <c r="E882" t="s">
        <v>207</v>
      </c>
      <c r="F882" t="s">
        <v>13</v>
      </c>
      <c r="G882" t="s">
        <v>14</v>
      </c>
      <c r="H882" t="s">
        <v>37</v>
      </c>
      <c r="I882" t="s">
        <v>22</v>
      </c>
      <c r="J882" t="s">
        <v>38</v>
      </c>
      <c r="K882">
        <v>1</v>
      </c>
      <c r="L882" s="4">
        <v>2171.34</v>
      </c>
      <c r="M882">
        <v>277.02</v>
      </c>
    </row>
    <row r="883" spans="1:13" x14ac:dyDescent="0.25">
      <c r="A883">
        <v>10882</v>
      </c>
      <c r="B883" t="str">
        <f t="shared" si="26"/>
        <v>Oct</v>
      </c>
      <c r="C883">
        <f t="shared" si="27"/>
        <v>10</v>
      </c>
      <c r="D883" t="s">
        <v>475</v>
      </c>
      <c r="E883" t="s">
        <v>940</v>
      </c>
      <c r="F883" t="s">
        <v>26</v>
      </c>
      <c r="G883" t="s">
        <v>46</v>
      </c>
      <c r="H883" t="s">
        <v>71</v>
      </c>
      <c r="I883" t="s">
        <v>27</v>
      </c>
      <c r="J883" t="s">
        <v>28</v>
      </c>
      <c r="K883">
        <v>8</v>
      </c>
      <c r="L883" s="4">
        <v>1538.37</v>
      </c>
      <c r="M883">
        <v>85.06</v>
      </c>
    </row>
    <row r="884" spans="1:13" x14ac:dyDescent="0.25">
      <c r="A884">
        <v>10883</v>
      </c>
      <c r="B884" t="str">
        <f t="shared" si="26"/>
        <v>Jul</v>
      </c>
      <c r="C884">
        <f t="shared" si="27"/>
        <v>7</v>
      </c>
      <c r="D884" t="s">
        <v>39</v>
      </c>
      <c r="E884" t="s">
        <v>589</v>
      </c>
      <c r="F884" t="s">
        <v>26</v>
      </c>
      <c r="G884" t="s">
        <v>32</v>
      </c>
      <c r="H884" t="s">
        <v>33</v>
      </c>
      <c r="I884" t="s">
        <v>27</v>
      </c>
      <c r="J884" t="s">
        <v>77</v>
      </c>
      <c r="K884">
        <v>1</v>
      </c>
      <c r="L884" s="4">
        <v>1843.15</v>
      </c>
      <c r="M884">
        <v>342.93</v>
      </c>
    </row>
    <row r="885" spans="1:13" x14ac:dyDescent="0.25">
      <c r="A885">
        <v>10884</v>
      </c>
      <c r="B885" t="str">
        <f t="shared" si="26"/>
        <v>Sep</v>
      </c>
      <c r="C885">
        <f t="shared" si="27"/>
        <v>9</v>
      </c>
      <c r="D885" t="s">
        <v>69</v>
      </c>
      <c r="E885" t="s">
        <v>899</v>
      </c>
      <c r="F885" t="s">
        <v>31</v>
      </c>
      <c r="G885" t="s">
        <v>32</v>
      </c>
      <c r="H885" t="s">
        <v>33</v>
      </c>
      <c r="I885" t="s">
        <v>27</v>
      </c>
      <c r="J885" t="s">
        <v>28</v>
      </c>
      <c r="K885">
        <v>1</v>
      </c>
      <c r="L885" s="4">
        <v>596.55999999999995</v>
      </c>
      <c r="M885">
        <v>94.74</v>
      </c>
    </row>
    <row r="886" spans="1:13" x14ac:dyDescent="0.25">
      <c r="A886">
        <v>10885</v>
      </c>
      <c r="B886" t="str">
        <f t="shared" si="26"/>
        <v>Aug</v>
      </c>
      <c r="C886">
        <f t="shared" si="27"/>
        <v>8</v>
      </c>
      <c r="D886" t="s">
        <v>142</v>
      </c>
      <c r="E886" t="s">
        <v>941</v>
      </c>
      <c r="F886" t="s">
        <v>13</v>
      </c>
      <c r="G886" t="s">
        <v>14</v>
      </c>
      <c r="H886" t="s">
        <v>37</v>
      </c>
      <c r="I886" t="s">
        <v>22</v>
      </c>
      <c r="J886" t="s">
        <v>48</v>
      </c>
      <c r="K886">
        <v>5</v>
      </c>
      <c r="L886" s="4">
        <v>1207.8699999999999</v>
      </c>
      <c r="M886">
        <v>149.85</v>
      </c>
    </row>
    <row r="887" spans="1:13" x14ac:dyDescent="0.25">
      <c r="A887">
        <v>10886</v>
      </c>
      <c r="B887" t="str">
        <f t="shared" si="26"/>
        <v>Dec</v>
      </c>
      <c r="C887">
        <f t="shared" si="27"/>
        <v>12</v>
      </c>
      <c r="D887" t="s">
        <v>326</v>
      </c>
      <c r="E887" t="s">
        <v>217</v>
      </c>
      <c r="F887" t="s">
        <v>26</v>
      </c>
      <c r="G887" t="s">
        <v>32</v>
      </c>
      <c r="H887" t="s">
        <v>33</v>
      </c>
      <c r="I887" t="s">
        <v>27</v>
      </c>
      <c r="J887" t="s">
        <v>77</v>
      </c>
      <c r="K887">
        <v>3</v>
      </c>
      <c r="L887" s="4">
        <v>785.38</v>
      </c>
      <c r="M887">
        <v>185.38</v>
      </c>
    </row>
    <row r="888" spans="1:13" x14ac:dyDescent="0.25">
      <c r="A888">
        <v>10887</v>
      </c>
      <c r="B888" t="str">
        <f t="shared" si="26"/>
        <v>Dec</v>
      </c>
      <c r="C888">
        <f t="shared" si="27"/>
        <v>12</v>
      </c>
      <c r="D888" t="s">
        <v>716</v>
      </c>
      <c r="E888" t="s">
        <v>217</v>
      </c>
      <c r="F888" t="s">
        <v>31</v>
      </c>
      <c r="G888" t="s">
        <v>46</v>
      </c>
      <c r="H888" t="s">
        <v>47</v>
      </c>
      <c r="I888" t="s">
        <v>22</v>
      </c>
      <c r="J888" t="s">
        <v>48</v>
      </c>
      <c r="K888">
        <v>7</v>
      </c>
      <c r="L888" s="4">
        <v>2163.17</v>
      </c>
      <c r="M888">
        <v>284.12</v>
      </c>
    </row>
    <row r="889" spans="1:13" x14ac:dyDescent="0.25">
      <c r="A889">
        <v>10888</v>
      </c>
      <c r="B889" t="str">
        <f t="shared" si="26"/>
        <v>Jul</v>
      </c>
      <c r="C889">
        <f t="shared" si="27"/>
        <v>7</v>
      </c>
      <c r="D889" t="s">
        <v>942</v>
      </c>
      <c r="E889" t="s">
        <v>943</v>
      </c>
      <c r="F889" t="s">
        <v>13</v>
      </c>
      <c r="G889" t="s">
        <v>32</v>
      </c>
      <c r="H889" t="s">
        <v>33</v>
      </c>
      <c r="I889" t="s">
        <v>27</v>
      </c>
      <c r="J889" t="s">
        <v>77</v>
      </c>
      <c r="K889">
        <v>8</v>
      </c>
      <c r="L889" s="4">
        <v>4019.12</v>
      </c>
      <c r="M889">
        <v>886.2</v>
      </c>
    </row>
    <row r="890" spans="1:13" x14ac:dyDescent="0.25">
      <c r="A890">
        <v>10889</v>
      </c>
      <c r="B890" t="str">
        <f t="shared" si="26"/>
        <v>Dec</v>
      </c>
      <c r="C890">
        <f t="shared" si="27"/>
        <v>12</v>
      </c>
      <c r="D890" t="s">
        <v>279</v>
      </c>
      <c r="E890" t="s">
        <v>944</v>
      </c>
      <c r="F890" t="s">
        <v>26</v>
      </c>
      <c r="G890" t="s">
        <v>20</v>
      </c>
      <c r="H890" t="s">
        <v>21</v>
      </c>
      <c r="I890" t="s">
        <v>22</v>
      </c>
      <c r="J890" t="s">
        <v>23</v>
      </c>
      <c r="K890">
        <v>1</v>
      </c>
      <c r="L890" s="4">
        <v>718.01</v>
      </c>
      <c r="M890">
        <v>96.31</v>
      </c>
    </row>
    <row r="891" spans="1:13" x14ac:dyDescent="0.25">
      <c r="A891">
        <v>10890</v>
      </c>
      <c r="B891" t="str">
        <f t="shared" si="26"/>
        <v>Aug</v>
      </c>
      <c r="C891">
        <f t="shared" si="27"/>
        <v>8</v>
      </c>
      <c r="D891" t="s">
        <v>142</v>
      </c>
      <c r="E891" t="s">
        <v>818</v>
      </c>
      <c r="F891" t="s">
        <v>13</v>
      </c>
      <c r="G891" t="s">
        <v>32</v>
      </c>
      <c r="H891" t="s">
        <v>54</v>
      </c>
      <c r="I891" t="s">
        <v>16</v>
      </c>
      <c r="J891" t="s">
        <v>81</v>
      </c>
      <c r="K891">
        <v>7</v>
      </c>
      <c r="L891" s="4">
        <v>2452.9499999999998</v>
      </c>
      <c r="M891">
        <v>287.45999999999998</v>
      </c>
    </row>
    <row r="892" spans="1:13" x14ac:dyDescent="0.25">
      <c r="A892">
        <v>10891</v>
      </c>
      <c r="B892" t="str">
        <f t="shared" si="26"/>
        <v>Aug</v>
      </c>
      <c r="C892">
        <f t="shared" si="27"/>
        <v>8</v>
      </c>
      <c r="D892" t="s">
        <v>142</v>
      </c>
      <c r="E892" t="s">
        <v>217</v>
      </c>
      <c r="F892" t="s">
        <v>31</v>
      </c>
      <c r="G892" t="s">
        <v>46</v>
      </c>
      <c r="H892" t="s">
        <v>71</v>
      </c>
      <c r="I892" t="s">
        <v>22</v>
      </c>
      <c r="J892" t="s">
        <v>38</v>
      </c>
      <c r="K892">
        <v>2</v>
      </c>
      <c r="L892" s="4">
        <v>4334.42</v>
      </c>
      <c r="M892">
        <v>1269.3699999999999</v>
      </c>
    </row>
    <row r="893" spans="1:13" x14ac:dyDescent="0.25">
      <c r="A893">
        <v>10892</v>
      </c>
      <c r="B893" t="str">
        <f t="shared" si="26"/>
        <v>Apr</v>
      </c>
      <c r="C893">
        <f t="shared" si="27"/>
        <v>4</v>
      </c>
      <c r="D893" t="s">
        <v>403</v>
      </c>
      <c r="E893" t="s">
        <v>945</v>
      </c>
      <c r="F893" t="s">
        <v>31</v>
      </c>
      <c r="G893" t="s">
        <v>14</v>
      </c>
      <c r="H893" t="s">
        <v>15</v>
      </c>
      <c r="I893" t="s">
        <v>22</v>
      </c>
      <c r="J893" t="s">
        <v>48</v>
      </c>
      <c r="K893">
        <v>4</v>
      </c>
      <c r="L893" s="4">
        <v>690.26</v>
      </c>
      <c r="M893">
        <v>76.37</v>
      </c>
    </row>
    <row r="894" spans="1:13" x14ac:dyDescent="0.25">
      <c r="A894">
        <v>10893</v>
      </c>
      <c r="B894" t="str">
        <f t="shared" si="26"/>
        <v>Apr</v>
      </c>
      <c r="C894">
        <f t="shared" si="27"/>
        <v>4</v>
      </c>
      <c r="D894" t="s">
        <v>946</v>
      </c>
      <c r="E894" t="s">
        <v>650</v>
      </c>
      <c r="F894" t="s">
        <v>31</v>
      </c>
      <c r="G894" t="s">
        <v>14</v>
      </c>
      <c r="H894" t="s">
        <v>15</v>
      </c>
      <c r="I894" t="s">
        <v>22</v>
      </c>
      <c r="J894" t="s">
        <v>23</v>
      </c>
      <c r="K894">
        <v>7</v>
      </c>
      <c r="L894" s="4">
        <v>2095.7600000000002</v>
      </c>
      <c r="M894">
        <v>202.02</v>
      </c>
    </row>
    <row r="895" spans="1:13" x14ac:dyDescent="0.25">
      <c r="A895">
        <v>10894</v>
      </c>
      <c r="B895" t="str">
        <f t="shared" si="26"/>
        <v>Jun</v>
      </c>
      <c r="C895">
        <f t="shared" si="27"/>
        <v>6</v>
      </c>
      <c r="D895" t="s">
        <v>268</v>
      </c>
      <c r="E895" t="s">
        <v>320</v>
      </c>
      <c r="F895" t="s">
        <v>31</v>
      </c>
      <c r="G895" t="s">
        <v>20</v>
      </c>
      <c r="H895" t="s">
        <v>76</v>
      </c>
      <c r="I895" t="s">
        <v>22</v>
      </c>
      <c r="J895" t="s">
        <v>34</v>
      </c>
      <c r="K895">
        <v>1</v>
      </c>
      <c r="L895" s="4">
        <v>1591.02</v>
      </c>
      <c r="M895">
        <v>158.59</v>
      </c>
    </row>
    <row r="896" spans="1:13" x14ac:dyDescent="0.25">
      <c r="A896">
        <v>10895</v>
      </c>
      <c r="B896" t="str">
        <f t="shared" si="26"/>
        <v>May</v>
      </c>
      <c r="C896">
        <f t="shared" si="27"/>
        <v>5</v>
      </c>
      <c r="D896" t="s">
        <v>360</v>
      </c>
      <c r="E896" t="s">
        <v>947</v>
      </c>
      <c r="F896" t="s">
        <v>31</v>
      </c>
      <c r="G896" t="s">
        <v>46</v>
      </c>
      <c r="H896" t="s">
        <v>47</v>
      </c>
      <c r="I896" t="s">
        <v>22</v>
      </c>
      <c r="J896" t="s">
        <v>48</v>
      </c>
      <c r="K896">
        <v>1</v>
      </c>
      <c r="L896" s="4">
        <v>102.63</v>
      </c>
      <c r="M896">
        <v>-10.09</v>
      </c>
    </row>
    <row r="897" spans="1:13" x14ac:dyDescent="0.25">
      <c r="A897">
        <v>10896</v>
      </c>
      <c r="B897" t="str">
        <f t="shared" si="26"/>
        <v>Jan</v>
      </c>
      <c r="C897">
        <f t="shared" si="27"/>
        <v>1</v>
      </c>
      <c r="D897" t="s">
        <v>948</v>
      </c>
      <c r="E897" t="s">
        <v>949</v>
      </c>
      <c r="F897" t="s">
        <v>13</v>
      </c>
      <c r="G897" t="s">
        <v>14</v>
      </c>
      <c r="H897" t="s">
        <v>37</v>
      </c>
      <c r="I897" t="s">
        <v>22</v>
      </c>
      <c r="J897" t="s">
        <v>38</v>
      </c>
      <c r="K897">
        <v>8</v>
      </c>
      <c r="L897" s="4">
        <v>1881.55</v>
      </c>
      <c r="M897">
        <v>227.55</v>
      </c>
    </row>
    <row r="898" spans="1:13" x14ac:dyDescent="0.25">
      <c r="A898">
        <v>10897</v>
      </c>
      <c r="B898" t="str">
        <f t="shared" ref="B898:B961" si="28">TEXT(D898,"mmm")</f>
        <v>Feb</v>
      </c>
      <c r="C898">
        <f t="shared" ref="C898:C961" si="29">MONTH(D898)</f>
        <v>2</v>
      </c>
      <c r="D898" t="s">
        <v>538</v>
      </c>
      <c r="E898" t="s">
        <v>734</v>
      </c>
      <c r="F898" t="s">
        <v>26</v>
      </c>
      <c r="G898" t="s">
        <v>46</v>
      </c>
      <c r="H898" t="s">
        <v>47</v>
      </c>
      <c r="I898" t="s">
        <v>27</v>
      </c>
      <c r="J898" t="s">
        <v>28</v>
      </c>
      <c r="K898">
        <v>6</v>
      </c>
      <c r="L898" s="4">
        <v>1267.44</v>
      </c>
      <c r="M898">
        <v>92.38</v>
      </c>
    </row>
    <row r="899" spans="1:13" x14ac:dyDescent="0.25">
      <c r="A899">
        <v>10898</v>
      </c>
      <c r="B899" t="str">
        <f t="shared" si="28"/>
        <v>Oct</v>
      </c>
      <c r="C899">
        <f t="shared" si="29"/>
        <v>10</v>
      </c>
      <c r="D899" t="s">
        <v>11</v>
      </c>
      <c r="E899" t="s">
        <v>870</v>
      </c>
      <c r="F899" t="s">
        <v>31</v>
      </c>
      <c r="G899" t="s">
        <v>14</v>
      </c>
      <c r="H899" t="s">
        <v>15</v>
      </c>
      <c r="I899" t="s">
        <v>16</v>
      </c>
      <c r="J899" t="s">
        <v>43</v>
      </c>
      <c r="K899">
        <v>4</v>
      </c>
      <c r="L899" s="4">
        <v>3552.83</v>
      </c>
      <c r="M899">
        <v>992.19</v>
      </c>
    </row>
    <row r="900" spans="1:13" x14ac:dyDescent="0.25">
      <c r="A900">
        <v>10899</v>
      </c>
      <c r="B900" t="str">
        <f t="shared" si="28"/>
        <v>Oct</v>
      </c>
      <c r="C900">
        <f t="shared" si="29"/>
        <v>10</v>
      </c>
      <c r="D900" t="s">
        <v>837</v>
      </c>
      <c r="E900" t="s">
        <v>789</v>
      </c>
      <c r="F900" t="s">
        <v>31</v>
      </c>
      <c r="G900" t="s">
        <v>32</v>
      </c>
      <c r="H900" t="s">
        <v>54</v>
      </c>
      <c r="I900" t="s">
        <v>22</v>
      </c>
      <c r="J900" t="s">
        <v>48</v>
      </c>
      <c r="K900">
        <v>1</v>
      </c>
      <c r="L900" s="4">
        <v>726.38</v>
      </c>
      <c r="M900">
        <v>41.1</v>
      </c>
    </row>
    <row r="901" spans="1:13" x14ac:dyDescent="0.25">
      <c r="A901">
        <v>10900</v>
      </c>
      <c r="B901" t="str">
        <f t="shared" si="28"/>
        <v>Jan</v>
      </c>
      <c r="C901">
        <f t="shared" si="29"/>
        <v>1</v>
      </c>
      <c r="D901" t="s">
        <v>627</v>
      </c>
      <c r="E901" t="s">
        <v>484</v>
      </c>
      <c r="F901" t="s">
        <v>13</v>
      </c>
      <c r="G901" t="s">
        <v>20</v>
      </c>
      <c r="H901" t="s">
        <v>21</v>
      </c>
      <c r="I901" t="s">
        <v>27</v>
      </c>
      <c r="J901" t="s">
        <v>118</v>
      </c>
      <c r="K901">
        <v>8</v>
      </c>
      <c r="L901" s="4">
        <v>2153.12</v>
      </c>
      <c r="M901">
        <v>558.59</v>
      </c>
    </row>
    <row r="902" spans="1:13" x14ac:dyDescent="0.25">
      <c r="A902">
        <v>10901</v>
      </c>
      <c r="B902" t="str">
        <f t="shared" si="28"/>
        <v>Jul</v>
      </c>
      <c r="C902">
        <f t="shared" si="29"/>
        <v>7</v>
      </c>
      <c r="D902" t="s">
        <v>477</v>
      </c>
      <c r="E902" t="s">
        <v>474</v>
      </c>
      <c r="F902" t="s">
        <v>13</v>
      </c>
      <c r="G902" t="s">
        <v>32</v>
      </c>
      <c r="H902" t="s">
        <v>33</v>
      </c>
      <c r="I902" t="s">
        <v>27</v>
      </c>
      <c r="J902" t="s">
        <v>118</v>
      </c>
      <c r="K902">
        <v>1</v>
      </c>
      <c r="L902" s="4">
        <v>3992.51</v>
      </c>
      <c r="M902">
        <v>818.06</v>
      </c>
    </row>
    <row r="903" spans="1:13" x14ac:dyDescent="0.25">
      <c r="A903">
        <v>10902</v>
      </c>
      <c r="B903" t="str">
        <f t="shared" si="28"/>
        <v>Mar</v>
      </c>
      <c r="C903">
        <f t="shared" si="29"/>
        <v>3</v>
      </c>
      <c r="D903" t="s">
        <v>603</v>
      </c>
      <c r="E903" t="s">
        <v>420</v>
      </c>
      <c r="F903" t="s">
        <v>26</v>
      </c>
      <c r="G903" t="s">
        <v>14</v>
      </c>
      <c r="H903" t="s">
        <v>15</v>
      </c>
      <c r="I903" t="s">
        <v>27</v>
      </c>
      <c r="J903" t="s">
        <v>77</v>
      </c>
      <c r="K903">
        <v>7</v>
      </c>
      <c r="L903" s="4">
        <v>2064.16</v>
      </c>
      <c r="M903">
        <v>224.9</v>
      </c>
    </row>
    <row r="904" spans="1:13" x14ac:dyDescent="0.25">
      <c r="A904">
        <v>10903</v>
      </c>
      <c r="B904" t="str">
        <f t="shared" si="28"/>
        <v>Mar</v>
      </c>
      <c r="C904">
        <f t="shared" si="29"/>
        <v>3</v>
      </c>
      <c r="D904" t="s">
        <v>452</v>
      </c>
      <c r="E904" t="s">
        <v>406</v>
      </c>
      <c r="F904" t="s">
        <v>26</v>
      </c>
      <c r="G904" t="s">
        <v>14</v>
      </c>
      <c r="H904" t="s">
        <v>37</v>
      </c>
      <c r="I904" t="s">
        <v>16</v>
      </c>
      <c r="J904" t="s">
        <v>17</v>
      </c>
      <c r="K904">
        <v>5</v>
      </c>
      <c r="L904" s="4">
        <v>4277.13</v>
      </c>
      <c r="M904">
        <v>503.9</v>
      </c>
    </row>
    <row r="905" spans="1:13" x14ac:dyDescent="0.25">
      <c r="A905">
        <v>10904</v>
      </c>
      <c r="B905" t="str">
        <f t="shared" si="28"/>
        <v>Jan</v>
      </c>
      <c r="C905">
        <f t="shared" si="29"/>
        <v>1</v>
      </c>
      <c r="D905" t="s">
        <v>639</v>
      </c>
      <c r="E905" t="s">
        <v>399</v>
      </c>
      <c r="F905" t="s">
        <v>26</v>
      </c>
      <c r="G905" t="s">
        <v>14</v>
      </c>
      <c r="H905" t="s">
        <v>15</v>
      </c>
      <c r="I905" t="s">
        <v>27</v>
      </c>
      <c r="J905" t="s">
        <v>118</v>
      </c>
      <c r="K905">
        <v>3</v>
      </c>
      <c r="L905" s="4">
        <v>4716.03</v>
      </c>
      <c r="M905">
        <v>549.98</v>
      </c>
    </row>
    <row r="906" spans="1:13" x14ac:dyDescent="0.25">
      <c r="A906">
        <v>10905</v>
      </c>
      <c r="B906" t="str">
        <f t="shared" si="28"/>
        <v>May</v>
      </c>
      <c r="C906">
        <f t="shared" si="29"/>
        <v>5</v>
      </c>
      <c r="D906" t="s">
        <v>206</v>
      </c>
      <c r="E906" t="s">
        <v>897</v>
      </c>
      <c r="F906" t="s">
        <v>26</v>
      </c>
      <c r="G906" t="s">
        <v>46</v>
      </c>
      <c r="H906" t="s">
        <v>71</v>
      </c>
      <c r="I906" t="s">
        <v>22</v>
      </c>
      <c r="J906" t="s">
        <v>38</v>
      </c>
      <c r="K906">
        <v>6</v>
      </c>
      <c r="L906" s="4">
        <v>1690.35</v>
      </c>
      <c r="M906">
        <v>396.07</v>
      </c>
    </row>
    <row r="907" spans="1:13" x14ac:dyDescent="0.25">
      <c r="A907">
        <v>10906</v>
      </c>
      <c r="B907" t="str">
        <f t="shared" si="28"/>
        <v>Apr</v>
      </c>
      <c r="C907">
        <f t="shared" si="29"/>
        <v>4</v>
      </c>
      <c r="D907" t="s">
        <v>105</v>
      </c>
      <c r="E907" t="s">
        <v>580</v>
      </c>
      <c r="F907" t="s">
        <v>26</v>
      </c>
      <c r="G907" t="s">
        <v>20</v>
      </c>
      <c r="H907" t="s">
        <v>76</v>
      </c>
      <c r="I907" t="s">
        <v>27</v>
      </c>
      <c r="J907" t="s">
        <v>118</v>
      </c>
      <c r="K907">
        <v>1</v>
      </c>
      <c r="L907" s="4">
        <v>4137.2700000000004</v>
      </c>
      <c r="M907">
        <v>337.15</v>
      </c>
    </row>
    <row r="908" spans="1:13" x14ac:dyDescent="0.25">
      <c r="A908">
        <v>10907</v>
      </c>
      <c r="B908" t="str">
        <f t="shared" si="28"/>
        <v>Oct</v>
      </c>
      <c r="C908">
        <f t="shared" si="29"/>
        <v>10</v>
      </c>
      <c r="D908" t="s">
        <v>161</v>
      </c>
      <c r="E908" t="s">
        <v>950</v>
      </c>
      <c r="F908" t="s">
        <v>31</v>
      </c>
      <c r="G908" t="s">
        <v>14</v>
      </c>
      <c r="H908" t="s">
        <v>37</v>
      </c>
      <c r="I908" t="s">
        <v>16</v>
      </c>
      <c r="J908" t="s">
        <v>17</v>
      </c>
      <c r="K908">
        <v>4</v>
      </c>
      <c r="L908" s="4">
        <v>4102.55</v>
      </c>
      <c r="M908">
        <v>404.54</v>
      </c>
    </row>
    <row r="909" spans="1:13" x14ac:dyDescent="0.25">
      <c r="A909">
        <v>10908</v>
      </c>
      <c r="B909" t="str">
        <f t="shared" si="28"/>
        <v>Aug</v>
      </c>
      <c r="C909">
        <f t="shared" si="29"/>
        <v>8</v>
      </c>
      <c r="D909" t="s">
        <v>644</v>
      </c>
      <c r="E909" t="s">
        <v>530</v>
      </c>
      <c r="F909" t="s">
        <v>26</v>
      </c>
      <c r="G909" t="s">
        <v>46</v>
      </c>
      <c r="H909" t="s">
        <v>47</v>
      </c>
      <c r="I909" t="s">
        <v>22</v>
      </c>
      <c r="J909" t="s">
        <v>34</v>
      </c>
      <c r="K909">
        <v>6</v>
      </c>
      <c r="L909" s="4">
        <v>826.84</v>
      </c>
      <c r="M909">
        <v>90.76</v>
      </c>
    </row>
    <row r="910" spans="1:13" x14ac:dyDescent="0.25">
      <c r="A910">
        <v>10909</v>
      </c>
      <c r="B910" t="str">
        <f t="shared" si="28"/>
        <v>Jul</v>
      </c>
      <c r="C910">
        <f t="shared" si="29"/>
        <v>7</v>
      </c>
      <c r="D910" t="s">
        <v>703</v>
      </c>
      <c r="E910" t="s">
        <v>115</v>
      </c>
      <c r="F910" t="s">
        <v>13</v>
      </c>
      <c r="G910" t="s">
        <v>46</v>
      </c>
      <c r="H910" t="s">
        <v>47</v>
      </c>
      <c r="I910" t="s">
        <v>16</v>
      </c>
      <c r="J910" t="s">
        <v>43</v>
      </c>
      <c r="K910">
        <v>5</v>
      </c>
      <c r="L910" s="4">
        <v>203.13</v>
      </c>
      <c r="M910">
        <v>0.66</v>
      </c>
    </row>
    <row r="911" spans="1:13" x14ac:dyDescent="0.25">
      <c r="A911">
        <v>10910</v>
      </c>
      <c r="B911" t="str">
        <f t="shared" si="28"/>
        <v>Feb</v>
      </c>
      <c r="C911">
        <f t="shared" si="29"/>
        <v>2</v>
      </c>
      <c r="D911" t="s">
        <v>579</v>
      </c>
      <c r="E911" t="s">
        <v>141</v>
      </c>
      <c r="F911" t="s">
        <v>13</v>
      </c>
      <c r="G911" t="s">
        <v>46</v>
      </c>
      <c r="H911" t="s">
        <v>71</v>
      </c>
      <c r="I911" t="s">
        <v>22</v>
      </c>
      <c r="J911" t="s">
        <v>23</v>
      </c>
      <c r="K911">
        <v>7</v>
      </c>
      <c r="L911" s="4">
        <v>1301.74</v>
      </c>
      <c r="M911">
        <v>263.91000000000003</v>
      </c>
    </row>
    <row r="912" spans="1:13" x14ac:dyDescent="0.25">
      <c r="A912">
        <v>10911</v>
      </c>
      <c r="B912" t="str">
        <f t="shared" si="28"/>
        <v>Nov</v>
      </c>
      <c r="C912">
        <f t="shared" si="29"/>
        <v>11</v>
      </c>
      <c r="D912" t="s">
        <v>388</v>
      </c>
      <c r="E912" t="s">
        <v>777</v>
      </c>
      <c r="F912" t="s">
        <v>26</v>
      </c>
      <c r="G912" t="s">
        <v>46</v>
      </c>
      <c r="H912" t="s">
        <v>71</v>
      </c>
      <c r="I912" t="s">
        <v>16</v>
      </c>
      <c r="J912" t="s">
        <v>81</v>
      </c>
      <c r="K912">
        <v>7</v>
      </c>
      <c r="L912" s="4">
        <v>1981.55</v>
      </c>
      <c r="M912">
        <v>152.22999999999999</v>
      </c>
    </row>
    <row r="913" spans="1:13" x14ac:dyDescent="0.25">
      <c r="A913">
        <v>10912</v>
      </c>
      <c r="B913" t="str">
        <f t="shared" si="28"/>
        <v>Oct</v>
      </c>
      <c r="C913">
        <f t="shared" si="29"/>
        <v>10</v>
      </c>
      <c r="D913" t="s">
        <v>84</v>
      </c>
      <c r="E913" t="s">
        <v>621</v>
      </c>
      <c r="F913" t="s">
        <v>31</v>
      </c>
      <c r="G913" t="s">
        <v>46</v>
      </c>
      <c r="H913" t="s">
        <v>71</v>
      </c>
      <c r="I913" t="s">
        <v>27</v>
      </c>
      <c r="J913" t="s">
        <v>104</v>
      </c>
      <c r="K913">
        <v>1</v>
      </c>
      <c r="L913" s="4">
        <v>3982.76</v>
      </c>
      <c r="M913">
        <v>129.33000000000001</v>
      </c>
    </row>
    <row r="914" spans="1:13" x14ac:dyDescent="0.25">
      <c r="A914">
        <v>10913</v>
      </c>
      <c r="B914" t="str">
        <f t="shared" si="28"/>
        <v>May</v>
      </c>
      <c r="C914">
        <f t="shared" si="29"/>
        <v>5</v>
      </c>
      <c r="D914" t="s">
        <v>357</v>
      </c>
      <c r="E914" t="s">
        <v>884</v>
      </c>
      <c r="F914" t="s">
        <v>13</v>
      </c>
      <c r="G914" t="s">
        <v>14</v>
      </c>
      <c r="H914" t="s">
        <v>15</v>
      </c>
      <c r="I914" t="s">
        <v>22</v>
      </c>
      <c r="J914" t="s">
        <v>34</v>
      </c>
      <c r="K914">
        <v>8</v>
      </c>
      <c r="L914" s="4">
        <v>4095.78</v>
      </c>
      <c r="M914">
        <v>471.64</v>
      </c>
    </row>
    <row r="915" spans="1:13" x14ac:dyDescent="0.25">
      <c r="A915">
        <v>10914</v>
      </c>
      <c r="B915" t="str">
        <f t="shared" si="28"/>
        <v>Aug</v>
      </c>
      <c r="C915">
        <f t="shared" si="29"/>
        <v>8</v>
      </c>
      <c r="D915" t="s">
        <v>858</v>
      </c>
      <c r="E915" t="s">
        <v>951</v>
      </c>
      <c r="F915" t="s">
        <v>26</v>
      </c>
      <c r="G915" t="s">
        <v>32</v>
      </c>
      <c r="H915" t="s">
        <v>33</v>
      </c>
      <c r="I915" t="s">
        <v>22</v>
      </c>
      <c r="J915" t="s">
        <v>23</v>
      </c>
      <c r="K915">
        <v>2</v>
      </c>
      <c r="L915" s="4">
        <v>2768.75</v>
      </c>
      <c r="M915">
        <v>120.79</v>
      </c>
    </row>
    <row r="916" spans="1:13" x14ac:dyDescent="0.25">
      <c r="A916">
        <v>10915</v>
      </c>
      <c r="B916" t="str">
        <f t="shared" si="28"/>
        <v>Dec</v>
      </c>
      <c r="C916">
        <f t="shared" si="29"/>
        <v>12</v>
      </c>
      <c r="D916" t="s">
        <v>279</v>
      </c>
      <c r="E916" t="s">
        <v>904</v>
      </c>
      <c r="F916" t="s">
        <v>13</v>
      </c>
      <c r="G916" t="s">
        <v>46</v>
      </c>
      <c r="H916" t="s">
        <v>71</v>
      </c>
      <c r="I916" t="s">
        <v>22</v>
      </c>
      <c r="J916" t="s">
        <v>34</v>
      </c>
      <c r="K916">
        <v>7</v>
      </c>
      <c r="L916" s="4">
        <v>822.14</v>
      </c>
      <c r="M916">
        <v>153.22</v>
      </c>
    </row>
    <row r="917" spans="1:13" x14ac:dyDescent="0.25">
      <c r="A917">
        <v>10916</v>
      </c>
      <c r="B917" t="str">
        <f t="shared" si="28"/>
        <v>Nov</v>
      </c>
      <c r="C917">
        <f t="shared" si="29"/>
        <v>11</v>
      </c>
      <c r="D917" t="s">
        <v>336</v>
      </c>
      <c r="E917" t="s">
        <v>952</v>
      </c>
      <c r="F917" t="s">
        <v>26</v>
      </c>
      <c r="G917" t="s">
        <v>14</v>
      </c>
      <c r="H917" t="s">
        <v>37</v>
      </c>
      <c r="I917" t="s">
        <v>22</v>
      </c>
      <c r="J917" t="s">
        <v>23</v>
      </c>
      <c r="K917">
        <v>4</v>
      </c>
      <c r="L917" s="4">
        <v>598.51</v>
      </c>
      <c r="M917">
        <v>137.22</v>
      </c>
    </row>
    <row r="918" spans="1:13" x14ac:dyDescent="0.25">
      <c r="A918">
        <v>10917</v>
      </c>
      <c r="B918" t="str">
        <f t="shared" si="28"/>
        <v>Aug</v>
      </c>
      <c r="C918">
        <f t="shared" si="29"/>
        <v>8</v>
      </c>
      <c r="D918" t="s">
        <v>451</v>
      </c>
      <c r="E918" t="s">
        <v>953</v>
      </c>
      <c r="F918" t="s">
        <v>13</v>
      </c>
      <c r="G918" t="s">
        <v>32</v>
      </c>
      <c r="H918" t="s">
        <v>33</v>
      </c>
      <c r="I918" t="s">
        <v>22</v>
      </c>
      <c r="J918" t="s">
        <v>48</v>
      </c>
      <c r="K918">
        <v>3</v>
      </c>
      <c r="L918" s="4">
        <v>2200.2800000000002</v>
      </c>
      <c r="M918">
        <v>276.07</v>
      </c>
    </row>
    <row r="919" spans="1:13" x14ac:dyDescent="0.25">
      <c r="A919">
        <v>10918</v>
      </c>
      <c r="B919" t="str">
        <f t="shared" si="28"/>
        <v>Dec</v>
      </c>
      <c r="C919">
        <f t="shared" si="29"/>
        <v>12</v>
      </c>
      <c r="D919" t="s">
        <v>415</v>
      </c>
      <c r="E919" t="s">
        <v>954</v>
      </c>
      <c r="F919" t="s">
        <v>26</v>
      </c>
      <c r="G919" t="s">
        <v>32</v>
      </c>
      <c r="H919" t="s">
        <v>54</v>
      </c>
      <c r="I919" t="s">
        <v>27</v>
      </c>
      <c r="J919" t="s">
        <v>118</v>
      </c>
      <c r="K919">
        <v>5</v>
      </c>
      <c r="L919" s="4">
        <v>4589.55</v>
      </c>
      <c r="M919">
        <v>895.45</v>
      </c>
    </row>
    <row r="920" spans="1:13" x14ac:dyDescent="0.25">
      <c r="A920">
        <v>10919</v>
      </c>
      <c r="B920" t="str">
        <f t="shared" si="28"/>
        <v>Sep</v>
      </c>
      <c r="C920">
        <f t="shared" si="29"/>
        <v>9</v>
      </c>
      <c r="D920" t="s">
        <v>955</v>
      </c>
      <c r="E920" t="s">
        <v>456</v>
      </c>
      <c r="F920" t="s">
        <v>26</v>
      </c>
      <c r="G920" t="s">
        <v>14</v>
      </c>
      <c r="H920" t="s">
        <v>15</v>
      </c>
      <c r="I920" t="s">
        <v>16</v>
      </c>
      <c r="J920" t="s">
        <v>43</v>
      </c>
      <c r="K920">
        <v>6</v>
      </c>
      <c r="L920" s="4">
        <v>824.12</v>
      </c>
      <c r="M920">
        <v>53.55</v>
      </c>
    </row>
    <row r="921" spans="1:13" x14ac:dyDescent="0.25">
      <c r="A921">
        <v>10920</v>
      </c>
      <c r="B921" t="str">
        <f t="shared" si="28"/>
        <v>Jul</v>
      </c>
      <c r="C921">
        <f t="shared" si="29"/>
        <v>7</v>
      </c>
      <c r="D921" t="s">
        <v>784</v>
      </c>
      <c r="E921" t="s">
        <v>956</v>
      </c>
      <c r="F921" t="s">
        <v>31</v>
      </c>
      <c r="G921" t="s">
        <v>14</v>
      </c>
      <c r="H921" t="s">
        <v>37</v>
      </c>
      <c r="I921" t="s">
        <v>16</v>
      </c>
      <c r="J921" t="s">
        <v>17</v>
      </c>
      <c r="K921">
        <v>3</v>
      </c>
      <c r="L921" s="4">
        <v>543.19000000000005</v>
      </c>
      <c r="M921">
        <v>144.06</v>
      </c>
    </row>
    <row r="922" spans="1:13" x14ac:dyDescent="0.25">
      <c r="A922">
        <v>10921</v>
      </c>
      <c r="B922" t="str">
        <f t="shared" si="28"/>
        <v>Jul</v>
      </c>
      <c r="C922">
        <f t="shared" si="29"/>
        <v>7</v>
      </c>
      <c r="D922" t="s">
        <v>567</v>
      </c>
      <c r="E922" t="s">
        <v>287</v>
      </c>
      <c r="F922" t="s">
        <v>13</v>
      </c>
      <c r="G922" t="s">
        <v>20</v>
      </c>
      <c r="H922" t="s">
        <v>76</v>
      </c>
      <c r="I922" t="s">
        <v>27</v>
      </c>
      <c r="J922" t="s">
        <v>77</v>
      </c>
      <c r="K922">
        <v>6</v>
      </c>
      <c r="L922" s="4">
        <v>777.28</v>
      </c>
      <c r="M922">
        <v>130.15</v>
      </c>
    </row>
    <row r="923" spans="1:13" x14ac:dyDescent="0.25">
      <c r="A923">
        <v>10922</v>
      </c>
      <c r="B923" t="str">
        <f t="shared" si="28"/>
        <v>Dec</v>
      </c>
      <c r="C923">
        <f t="shared" si="29"/>
        <v>12</v>
      </c>
      <c r="D923" t="s">
        <v>573</v>
      </c>
      <c r="E923" t="s">
        <v>957</v>
      </c>
      <c r="F923" t="s">
        <v>13</v>
      </c>
      <c r="G923" t="s">
        <v>20</v>
      </c>
      <c r="H923" t="s">
        <v>76</v>
      </c>
      <c r="I923" t="s">
        <v>16</v>
      </c>
      <c r="J923" t="s">
        <v>43</v>
      </c>
      <c r="K923">
        <v>7</v>
      </c>
      <c r="L923" s="4">
        <v>509.73</v>
      </c>
      <c r="M923">
        <v>63.9</v>
      </c>
    </row>
    <row r="924" spans="1:13" x14ac:dyDescent="0.25">
      <c r="A924">
        <v>10923</v>
      </c>
      <c r="B924" t="str">
        <f t="shared" si="28"/>
        <v>Aug</v>
      </c>
      <c r="C924">
        <f t="shared" si="29"/>
        <v>8</v>
      </c>
      <c r="D924" t="s">
        <v>203</v>
      </c>
      <c r="E924" t="s">
        <v>302</v>
      </c>
      <c r="F924" t="s">
        <v>26</v>
      </c>
      <c r="G924" t="s">
        <v>46</v>
      </c>
      <c r="H924" t="s">
        <v>71</v>
      </c>
      <c r="I924" t="s">
        <v>22</v>
      </c>
      <c r="J924" t="s">
        <v>38</v>
      </c>
      <c r="K924">
        <v>1</v>
      </c>
      <c r="L924" s="4">
        <v>1096.07</v>
      </c>
      <c r="M924">
        <v>251.64</v>
      </c>
    </row>
    <row r="925" spans="1:13" x14ac:dyDescent="0.25">
      <c r="A925">
        <v>10924</v>
      </c>
      <c r="B925" t="str">
        <f t="shared" si="28"/>
        <v>Aug</v>
      </c>
      <c r="C925">
        <f t="shared" si="29"/>
        <v>8</v>
      </c>
      <c r="D925" t="s">
        <v>152</v>
      </c>
      <c r="E925" t="s">
        <v>958</v>
      </c>
      <c r="F925" t="s">
        <v>26</v>
      </c>
      <c r="G925" t="s">
        <v>14</v>
      </c>
      <c r="H925" t="s">
        <v>37</v>
      </c>
      <c r="I925" t="s">
        <v>27</v>
      </c>
      <c r="J925" t="s">
        <v>104</v>
      </c>
      <c r="K925">
        <v>5</v>
      </c>
      <c r="L925" s="4">
        <v>2355.9</v>
      </c>
      <c r="M925">
        <v>554.59</v>
      </c>
    </row>
    <row r="926" spans="1:13" x14ac:dyDescent="0.25">
      <c r="A926">
        <v>10925</v>
      </c>
      <c r="B926" t="str">
        <f t="shared" si="28"/>
        <v>Jan</v>
      </c>
      <c r="C926">
        <f t="shared" si="29"/>
        <v>1</v>
      </c>
      <c r="D926" t="s">
        <v>664</v>
      </c>
      <c r="E926" t="s">
        <v>766</v>
      </c>
      <c r="F926" t="s">
        <v>31</v>
      </c>
      <c r="G926" t="s">
        <v>46</v>
      </c>
      <c r="H926" t="s">
        <v>71</v>
      </c>
      <c r="I926" t="s">
        <v>16</v>
      </c>
      <c r="J926" t="s">
        <v>43</v>
      </c>
      <c r="K926">
        <v>2</v>
      </c>
      <c r="L926" s="4">
        <v>4814.05</v>
      </c>
      <c r="M926">
        <v>1050.18</v>
      </c>
    </row>
    <row r="927" spans="1:13" x14ac:dyDescent="0.25">
      <c r="A927">
        <v>10926</v>
      </c>
      <c r="B927" t="str">
        <f t="shared" si="28"/>
        <v>Mar</v>
      </c>
      <c r="C927">
        <f t="shared" si="29"/>
        <v>3</v>
      </c>
      <c r="D927" t="s">
        <v>929</v>
      </c>
      <c r="E927" t="s">
        <v>340</v>
      </c>
      <c r="F927" t="s">
        <v>26</v>
      </c>
      <c r="G927" t="s">
        <v>32</v>
      </c>
      <c r="H927" t="s">
        <v>33</v>
      </c>
      <c r="I927" t="s">
        <v>16</v>
      </c>
      <c r="J927" t="s">
        <v>81</v>
      </c>
      <c r="K927">
        <v>2</v>
      </c>
      <c r="L927" s="4">
        <v>2436.4499999999998</v>
      </c>
      <c r="M927">
        <v>467.77</v>
      </c>
    </row>
    <row r="928" spans="1:13" x14ac:dyDescent="0.25">
      <c r="A928">
        <v>10927</v>
      </c>
      <c r="B928" t="str">
        <f t="shared" si="28"/>
        <v>Sep</v>
      </c>
      <c r="C928">
        <f t="shared" si="29"/>
        <v>9</v>
      </c>
      <c r="D928" t="s">
        <v>286</v>
      </c>
      <c r="E928" t="s">
        <v>959</v>
      </c>
      <c r="F928" t="s">
        <v>31</v>
      </c>
      <c r="G928" t="s">
        <v>14</v>
      </c>
      <c r="H928" t="s">
        <v>15</v>
      </c>
      <c r="I928" t="s">
        <v>22</v>
      </c>
      <c r="J928" t="s">
        <v>23</v>
      </c>
      <c r="K928">
        <v>7</v>
      </c>
      <c r="L928" s="4">
        <v>833.61</v>
      </c>
      <c r="M928">
        <v>5.34</v>
      </c>
    </row>
    <row r="929" spans="1:13" x14ac:dyDescent="0.25">
      <c r="A929">
        <v>10928</v>
      </c>
      <c r="B929" t="str">
        <f t="shared" si="28"/>
        <v>Mar</v>
      </c>
      <c r="C929">
        <f t="shared" si="29"/>
        <v>3</v>
      </c>
      <c r="D929" t="s">
        <v>960</v>
      </c>
      <c r="E929" t="s">
        <v>911</v>
      </c>
      <c r="F929" t="s">
        <v>13</v>
      </c>
      <c r="G929" t="s">
        <v>20</v>
      </c>
      <c r="H929" t="s">
        <v>76</v>
      </c>
      <c r="I929" t="s">
        <v>16</v>
      </c>
      <c r="J929" t="s">
        <v>17</v>
      </c>
      <c r="K929">
        <v>8</v>
      </c>
      <c r="L929" s="4">
        <v>3928.84</v>
      </c>
      <c r="M929">
        <v>850.64</v>
      </c>
    </row>
    <row r="930" spans="1:13" x14ac:dyDescent="0.25">
      <c r="A930">
        <v>10929</v>
      </c>
      <c r="B930" t="str">
        <f t="shared" si="28"/>
        <v>Aug</v>
      </c>
      <c r="C930">
        <f t="shared" si="29"/>
        <v>8</v>
      </c>
      <c r="D930" t="s">
        <v>245</v>
      </c>
      <c r="E930" t="s">
        <v>961</v>
      </c>
      <c r="F930" t="s">
        <v>13</v>
      </c>
      <c r="G930" t="s">
        <v>14</v>
      </c>
      <c r="H930" t="s">
        <v>15</v>
      </c>
      <c r="I930" t="s">
        <v>16</v>
      </c>
      <c r="J930" t="s">
        <v>43</v>
      </c>
      <c r="K930">
        <v>1</v>
      </c>
      <c r="L930" s="4">
        <v>2042.31</v>
      </c>
      <c r="M930">
        <v>223.58</v>
      </c>
    </row>
    <row r="931" spans="1:13" x14ac:dyDescent="0.25">
      <c r="A931">
        <v>10930</v>
      </c>
      <c r="B931" t="str">
        <f t="shared" si="28"/>
        <v>Jul</v>
      </c>
      <c r="C931">
        <f t="shared" si="29"/>
        <v>7</v>
      </c>
      <c r="D931" t="s">
        <v>924</v>
      </c>
      <c r="E931" t="s">
        <v>749</v>
      </c>
      <c r="F931" t="s">
        <v>13</v>
      </c>
      <c r="G931" t="s">
        <v>32</v>
      </c>
      <c r="H931" t="s">
        <v>54</v>
      </c>
      <c r="I931" t="s">
        <v>16</v>
      </c>
      <c r="J931" t="s">
        <v>43</v>
      </c>
      <c r="K931">
        <v>7</v>
      </c>
      <c r="L931" s="4">
        <v>4664.1099999999997</v>
      </c>
      <c r="M931">
        <v>540.97</v>
      </c>
    </row>
    <row r="932" spans="1:13" x14ac:dyDescent="0.25">
      <c r="A932">
        <v>10931</v>
      </c>
      <c r="B932" t="str">
        <f t="shared" si="28"/>
        <v>Nov</v>
      </c>
      <c r="C932">
        <f t="shared" si="29"/>
        <v>11</v>
      </c>
      <c r="D932" t="s">
        <v>411</v>
      </c>
      <c r="E932" t="s">
        <v>906</v>
      </c>
      <c r="F932" t="s">
        <v>26</v>
      </c>
      <c r="G932" t="s">
        <v>46</v>
      </c>
      <c r="H932" t="s">
        <v>47</v>
      </c>
      <c r="I932" t="s">
        <v>16</v>
      </c>
      <c r="J932" t="s">
        <v>81</v>
      </c>
      <c r="K932">
        <v>4</v>
      </c>
      <c r="L932" s="4">
        <v>2022.23</v>
      </c>
      <c r="M932">
        <v>419.34</v>
      </c>
    </row>
    <row r="933" spans="1:13" x14ac:dyDescent="0.25">
      <c r="A933">
        <v>10932</v>
      </c>
      <c r="B933" t="str">
        <f t="shared" si="28"/>
        <v>Apr</v>
      </c>
      <c r="C933">
        <f t="shared" si="29"/>
        <v>4</v>
      </c>
      <c r="D933" t="s">
        <v>962</v>
      </c>
      <c r="E933" t="s">
        <v>702</v>
      </c>
      <c r="F933" t="s">
        <v>26</v>
      </c>
      <c r="G933" t="s">
        <v>20</v>
      </c>
      <c r="H933" t="s">
        <v>76</v>
      </c>
      <c r="I933" t="s">
        <v>27</v>
      </c>
      <c r="J933" t="s">
        <v>77</v>
      </c>
      <c r="K933">
        <v>7</v>
      </c>
      <c r="L933" s="4">
        <v>907.64</v>
      </c>
      <c r="M933">
        <v>163</v>
      </c>
    </row>
    <row r="934" spans="1:13" x14ac:dyDescent="0.25">
      <c r="A934">
        <v>10933</v>
      </c>
      <c r="B934" t="str">
        <f t="shared" si="28"/>
        <v>Apr</v>
      </c>
      <c r="C934">
        <f t="shared" si="29"/>
        <v>4</v>
      </c>
      <c r="D934" t="s">
        <v>260</v>
      </c>
      <c r="E934" t="s">
        <v>166</v>
      </c>
      <c r="F934" t="s">
        <v>26</v>
      </c>
      <c r="G934" t="s">
        <v>14</v>
      </c>
      <c r="H934" t="s">
        <v>15</v>
      </c>
      <c r="I934" t="s">
        <v>27</v>
      </c>
      <c r="J934" t="s">
        <v>28</v>
      </c>
      <c r="K934">
        <v>1</v>
      </c>
      <c r="L934" s="4">
        <v>1273.7</v>
      </c>
      <c r="M934">
        <v>104.87</v>
      </c>
    </row>
    <row r="935" spans="1:13" x14ac:dyDescent="0.25">
      <c r="A935">
        <v>10934</v>
      </c>
      <c r="B935" t="str">
        <f t="shared" si="28"/>
        <v>Jan</v>
      </c>
      <c r="C935">
        <f t="shared" si="29"/>
        <v>1</v>
      </c>
      <c r="D935" t="s">
        <v>29</v>
      </c>
      <c r="E935" t="s">
        <v>532</v>
      </c>
      <c r="F935" t="s">
        <v>31</v>
      </c>
      <c r="G935" t="s">
        <v>32</v>
      </c>
      <c r="H935" t="s">
        <v>33</v>
      </c>
      <c r="I935" t="s">
        <v>16</v>
      </c>
      <c r="J935" t="s">
        <v>43</v>
      </c>
      <c r="K935">
        <v>1</v>
      </c>
      <c r="L935" s="4">
        <v>1277.6400000000001</v>
      </c>
      <c r="M935">
        <v>34.03</v>
      </c>
    </row>
    <row r="936" spans="1:13" x14ac:dyDescent="0.25">
      <c r="A936">
        <v>10935</v>
      </c>
      <c r="B936" t="str">
        <f t="shared" si="28"/>
        <v>Jul</v>
      </c>
      <c r="C936">
        <f t="shared" si="29"/>
        <v>7</v>
      </c>
      <c r="D936" t="s">
        <v>477</v>
      </c>
      <c r="E936" t="s">
        <v>58</v>
      </c>
      <c r="F936" t="s">
        <v>26</v>
      </c>
      <c r="G936" t="s">
        <v>14</v>
      </c>
      <c r="H936" t="s">
        <v>15</v>
      </c>
      <c r="I936" t="s">
        <v>27</v>
      </c>
      <c r="J936" t="s">
        <v>118</v>
      </c>
      <c r="K936">
        <v>5</v>
      </c>
      <c r="L936" s="4">
        <v>141.55000000000001</v>
      </c>
      <c r="M936">
        <v>-8.5399999999999991</v>
      </c>
    </row>
    <row r="937" spans="1:13" x14ac:dyDescent="0.25">
      <c r="A937">
        <v>10936</v>
      </c>
      <c r="B937" t="str">
        <f t="shared" si="28"/>
        <v>Sep</v>
      </c>
      <c r="C937">
        <f t="shared" si="29"/>
        <v>9</v>
      </c>
      <c r="D937" t="s">
        <v>328</v>
      </c>
      <c r="E937" t="s">
        <v>651</v>
      </c>
      <c r="F937" t="s">
        <v>13</v>
      </c>
      <c r="G937" t="s">
        <v>32</v>
      </c>
      <c r="H937" t="s">
        <v>54</v>
      </c>
      <c r="I937" t="s">
        <v>16</v>
      </c>
      <c r="J937" t="s">
        <v>17</v>
      </c>
      <c r="K937">
        <v>3</v>
      </c>
      <c r="L937" s="4">
        <v>3543.02</v>
      </c>
      <c r="M937">
        <v>222.68</v>
      </c>
    </row>
    <row r="938" spans="1:13" x14ac:dyDescent="0.25">
      <c r="A938">
        <v>10937</v>
      </c>
      <c r="B938" t="str">
        <f t="shared" si="28"/>
        <v>Mar</v>
      </c>
      <c r="C938">
        <f t="shared" si="29"/>
        <v>3</v>
      </c>
      <c r="D938" t="s">
        <v>469</v>
      </c>
      <c r="E938" t="s">
        <v>963</v>
      </c>
      <c r="F938" t="s">
        <v>31</v>
      </c>
      <c r="G938" t="s">
        <v>46</v>
      </c>
      <c r="H938" t="s">
        <v>71</v>
      </c>
      <c r="I938" t="s">
        <v>16</v>
      </c>
      <c r="J938" t="s">
        <v>51</v>
      </c>
      <c r="K938">
        <v>8</v>
      </c>
      <c r="L938" s="4">
        <v>2973.16</v>
      </c>
      <c r="M938">
        <v>752.95</v>
      </c>
    </row>
    <row r="939" spans="1:13" x14ac:dyDescent="0.25">
      <c r="A939">
        <v>10938</v>
      </c>
      <c r="B939" t="str">
        <f t="shared" si="28"/>
        <v>Mar</v>
      </c>
      <c r="C939">
        <f t="shared" si="29"/>
        <v>3</v>
      </c>
      <c r="D939" t="s">
        <v>919</v>
      </c>
      <c r="E939" t="s">
        <v>943</v>
      </c>
      <c r="F939" t="s">
        <v>13</v>
      </c>
      <c r="G939" t="s">
        <v>14</v>
      </c>
      <c r="H939" t="s">
        <v>15</v>
      </c>
      <c r="I939" t="s">
        <v>16</v>
      </c>
      <c r="J939" t="s">
        <v>43</v>
      </c>
      <c r="K939">
        <v>4</v>
      </c>
      <c r="L939" s="4">
        <v>4056.63</v>
      </c>
      <c r="M939">
        <v>789.43</v>
      </c>
    </row>
    <row r="940" spans="1:13" x14ac:dyDescent="0.25">
      <c r="A940">
        <v>10939</v>
      </c>
      <c r="B940" t="str">
        <f t="shared" si="28"/>
        <v>Dec</v>
      </c>
      <c r="C940">
        <f t="shared" si="29"/>
        <v>12</v>
      </c>
      <c r="D940" t="s">
        <v>415</v>
      </c>
      <c r="E940" t="s">
        <v>544</v>
      </c>
      <c r="F940" t="s">
        <v>13</v>
      </c>
      <c r="G940" t="s">
        <v>32</v>
      </c>
      <c r="H940" t="s">
        <v>54</v>
      </c>
      <c r="I940" t="s">
        <v>22</v>
      </c>
      <c r="J940" t="s">
        <v>38</v>
      </c>
      <c r="K940">
        <v>5</v>
      </c>
      <c r="L940" s="4">
        <v>1865.55</v>
      </c>
      <c r="M940">
        <v>449.39</v>
      </c>
    </row>
    <row r="941" spans="1:13" x14ac:dyDescent="0.25">
      <c r="A941">
        <v>10940</v>
      </c>
      <c r="B941" t="str">
        <f t="shared" si="28"/>
        <v>Jan</v>
      </c>
      <c r="C941">
        <f t="shared" si="29"/>
        <v>1</v>
      </c>
      <c r="D941" t="s">
        <v>701</v>
      </c>
      <c r="E941" t="s">
        <v>564</v>
      </c>
      <c r="F941" t="s">
        <v>31</v>
      </c>
      <c r="G941" t="s">
        <v>20</v>
      </c>
      <c r="H941" t="s">
        <v>21</v>
      </c>
      <c r="I941" t="s">
        <v>22</v>
      </c>
      <c r="J941" t="s">
        <v>23</v>
      </c>
      <c r="K941">
        <v>3</v>
      </c>
      <c r="L941" s="4">
        <v>2877.81</v>
      </c>
      <c r="M941">
        <v>849.58</v>
      </c>
    </row>
    <row r="942" spans="1:13" x14ac:dyDescent="0.25">
      <c r="A942">
        <v>10941</v>
      </c>
      <c r="B942" t="str">
        <f t="shared" si="28"/>
        <v>Oct</v>
      </c>
      <c r="C942">
        <f t="shared" si="29"/>
        <v>10</v>
      </c>
      <c r="D942" t="s">
        <v>250</v>
      </c>
      <c r="E942" t="s">
        <v>828</v>
      </c>
      <c r="F942" t="s">
        <v>31</v>
      </c>
      <c r="G942" t="s">
        <v>14</v>
      </c>
      <c r="H942" t="s">
        <v>37</v>
      </c>
      <c r="I942" t="s">
        <v>22</v>
      </c>
      <c r="J942" t="s">
        <v>34</v>
      </c>
      <c r="K942">
        <v>6</v>
      </c>
      <c r="L942" s="4">
        <v>931.62</v>
      </c>
      <c r="M942">
        <v>108.61</v>
      </c>
    </row>
    <row r="943" spans="1:13" x14ac:dyDescent="0.25">
      <c r="A943">
        <v>10942</v>
      </c>
      <c r="B943" t="str">
        <f t="shared" si="28"/>
        <v>Aug</v>
      </c>
      <c r="C943">
        <f t="shared" si="29"/>
        <v>8</v>
      </c>
      <c r="D943" t="s">
        <v>191</v>
      </c>
      <c r="E943" t="s">
        <v>739</v>
      </c>
      <c r="F943" t="s">
        <v>26</v>
      </c>
      <c r="G943" t="s">
        <v>14</v>
      </c>
      <c r="H943" t="s">
        <v>15</v>
      </c>
      <c r="I943" t="s">
        <v>22</v>
      </c>
      <c r="J943" t="s">
        <v>34</v>
      </c>
      <c r="K943">
        <v>5</v>
      </c>
      <c r="L943" s="4">
        <v>4932.1000000000004</v>
      </c>
      <c r="M943">
        <v>1376.79</v>
      </c>
    </row>
    <row r="944" spans="1:13" x14ac:dyDescent="0.25">
      <c r="A944">
        <v>10943</v>
      </c>
      <c r="B944" t="str">
        <f t="shared" si="28"/>
        <v>Mar</v>
      </c>
      <c r="C944">
        <f t="shared" si="29"/>
        <v>3</v>
      </c>
      <c r="D944" t="s">
        <v>98</v>
      </c>
      <c r="E944" t="s">
        <v>964</v>
      </c>
      <c r="F944" t="s">
        <v>31</v>
      </c>
      <c r="G944" t="s">
        <v>14</v>
      </c>
      <c r="H944" t="s">
        <v>37</v>
      </c>
      <c r="I944" t="s">
        <v>22</v>
      </c>
      <c r="J944" t="s">
        <v>38</v>
      </c>
      <c r="K944">
        <v>5</v>
      </c>
      <c r="L944" s="4">
        <v>2064.6</v>
      </c>
      <c r="M944">
        <v>453.86</v>
      </c>
    </row>
    <row r="945" spans="1:13" x14ac:dyDescent="0.25">
      <c r="A945">
        <v>10944</v>
      </c>
      <c r="B945" t="str">
        <f t="shared" si="28"/>
        <v>Nov</v>
      </c>
      <c r="C945">
        <f t="shared" si="29"/>
        <v>11</v>
      </c>
      <c r="D945" t="s">
        <v>348</v>
      </c>
      <c r="E945" t="s">
        <v>965</v>
      </c>
      <c r="F945" t="s">
        <v>26</v>
      </c>
      <c r="G945" t="s">
        <v>32</v>
      </c>
      <c r="H945" t="s">
        <v>54</v>
      </c>
      <c r="I945" t="s">
        <v>22</v>
      </c>
      <c r="J945" t="s">
        <v>34</v>
      </c>
      <c r="K945">
        <v>8</v>
      </c>
      <c r="L945" s="4">
        <v>1387.85</v>
      </c>
      <c r="M945">
        <v>304.92</v>
      </c>
    </row>
    <row r="946" spans="1:13" x14ac:dyDescent="0.25">
      <c r="A946">
        <v>10945</v>
      </c>
      <c r="B946" t="str">
        <f t="shared" si="28"/>
        <v>Apr</v>
      </c>
      <c r="C946">
        <f t="shared" si="29"/>
        <v>4</v>
      </c>
      <c r="D946" t="s">
        <v>880</v>
      </c>
      <c r="E946" t="s">
        <v>444</v>
      </c>
      <c r="F946" t="s">
        <v>31</v>
      </c>
      <c r="G946" t="s">
        <v>46</v>
      </c>
      <c r="H946" t="s">
        <v>71</v>
      </c>
      <c r="I946" t="s">
        <v>22</v>
      </c>
      <c r="J946" t="s">
        <v>23</v>
      </c>
      <c r="K946">
        <v>5</v>
      </c>
      <c r="L946" s="4">
        <v>1941.53</v>
      </c>
      <c r="M946">
        <v>288.43</v>
      </c>
    </row>
    <row r="947" spans="1:13" x14ac:dyDescent="0.25">
      <c r="A947">
        <v>10946</v>
      </c>
      <c r="B947" t="str">
        <f t="shared" si="28"/>
        <v>Jul</v>
      </c>
      <c r="C947">
        <f t="shared" si="29"/>
        <v>7</v>
      </c>
      <c r="D947" t="s">
        <v>477</v>
      </c>
      <c r="E947" t="s">
        <v>966</v>
      </c>
      <c r="F947" t="s">
        <v>31</v>
      </c>
      <c r="G947" t="s">
        <v>14</v>
      </c>
      <c r="H947" t="s">
        <v>37</v>
      </c>
      <c r="I947" t="s">
        <v>27</v>
      </c>
      <c r="J947" t="s">
        <v>77</v>
      </c>
      <c r="K947">
        <v>8</v>
      </c>
      <c r="L947" s="4">
        <v>634.67999999999995</v>
      </c>
      <c r="M947">
        <v>49.5</v>
      </c>
    </row>
    <row r="948" spans="1:13" x14ac:dyDescent="0.25">
      <c r="A948">
        <v>10947</v>
      </c>
      <c r="B948" t="str">
        <f t="shared" si="28"/>
        <v>Sep</v>
      </c>
      <c r="C948">
        <f t="shared" si="29"/>
        <v>9</v>
      </c>
      <c r="D948" t="s">
        <v>124</v>
      </c>
      <c r="E948" t="s">
        <v>967</v>
      </c>
      <c r="F948" t="s">
        <v>31</v>
      </c>
      <c r="G948" t="s">
        <v>46</v>
      </c>
      <c r="H948" t="s">
        <v>47</v>
      </c>
      <c r="I948" t="s">
        <v>27</v>
      </c>
      <c r="J948" t="s">
        <v>118</v>
      </c>
      <c r="K948">
        <v>6</v>
      </c>
      <c r="L948" s="4">
        <v>1777.88</v>
      </c>
      <c r="M948">
        <v>336.25</v>
      </c>
    </row>
    <row r="949" spans="1:13" x14ac:dyDescent="0.25">
      <c r="A949">
        <v>10948</v>
      </c>
      <c r="B949" t="str">
        <f t="shared" si="28"/>
        <v>Nov</v>
      </c>
      <c r="C949">
        <f t="shared" si="29"/>
        <v>11</v>
      </c>
      <c r="D949" t="s">
        <v>555</v>
      </c>
      <c r="E949" t="s">
        <v>544</v>
      </c>
      <c r="F949" t="s">
        <v>31</v>
      </c>
      <c r="G949" t="s">
        <v>20</v>
      </c>
      <c r="H949" t="s">
        <v>21</v>
      </c>
      <c r="I949" t="s">
        <v>16</v>
      </c>
      <c r="J949" t="s">
        <v>43</v>
      </c>
      <c r="K949">
        <v>8</v>
      </c>
      <c r="L949" s="4">
        <v>813.02</v>
      </c>
      <c r="M949">
        <v>27.22</v>
      </c>
    </row>
    <row r="950" spans="1:13" x14ac:dyDescent="0.25">
      <c r="A950">
        <v>10949</v>
      </c>
      <c r="B950" t="str">
        <f t="shared" si="28"/>
        <v>Dec</v>
      </c>
      <c r="C950">
        <f t="shared" si="29"/>
        <v>12</v>
      </c>
      <c r="D950" t="s">
        <v>279</v>
      </c>
      <c r="E950" t="s">
        <v>634</v>
      </c>
      <c r="F950" t="s">
        <v>31</v>
      </c>
      <c r="G950" t="s">
        <v>14</v>
      </c>
      <c r="H950" t="s">
        <v>37</v>
      </c>
      <c r="I950" t="s">
        <v>27</v>
      </c>
      <c r="J950" t="s">
        <v>77</v>
      </c>
      <c r="K950">
        <v>4</v>
      </c>
      <c r="L950" s="4">
        <v>364.98</v>
      </c>
      <c r="M950">
        <v>2.19</v>
      </c>
    </row>
    <row r="951" spans="1:13" x14ac:dyDescent="0.25">
      <c r="A951">
        <v>10950</v>
      </c>
      <c r="B951" t="str">
        <f t="shared" si="28"/>
        <v>Aug</v>
      </c>
      <c r="C951">
        <f t="shared" si="29"/>
        <v>8</v>
      </c>
      <c r="D951" t="s">
        <v>597</v>
      </c>
      <c r="E951" t="s">
        <v>730</v>
      </c>
      <c r="F951" t="s">
        <v>31</v>
      </c>
      <c r="G951" t="s">
        <v>32</v>
      </c>
      <c r="H951" t="s">
        <v>33</v>
      </c>
      <c r="I951" t="s">
        <v>22</v>
      </c>
      <c r="J951" t="s">
        <v>48</v>
      </c>
      <c r="K951">
        <v>2</v>
      </c>
      <c r="L951" s="4">
        <v>1442.14</v>
      </c>
      <c r="M951">
        <v>14.19</v>
      </c>
    </row>
    <row r="952" spans="1:13" x14ac:dyDescent="0.25">
      <c r="A952">
        <v>10951</v>
      </c>
      <c r="B952" t="str">
        <f t="shared" si="28"/>
        <v>Jun</v>
      </c>
      <c r="C952">
        <f t="shared" si="29"/>
        <v>6</v>
      </c>
      <c r="D952" t="s">
        <v>968</v>
      </c>
      <c r="E952" t="s">
        <v>969</v>
      </c>
      <c r="F952" t="s">
        <v>26</v>
      </c>
      <c r="G952" t="s">
        <v>46</v>
      </c>
      <c r="H952" t="s">
        <v>47</v>
      </c>
      <c r="I952" t="s">
        <v>22</v>
      </c>
      <c r="J952" t="s">
        <v>23</v>
      </c>
      <c r="K952">
        <v>2</v>
      </c>
      <c r="L952" s="4">
        <v>4485.29</v>
      </c>
      <c r="M952">
        <v>608.45000000000005</v>
      </c>
    </row>
    <row r="953" spans="1:13" x14ac:dyDescent="0.25">
      <c r="A953">
        <v>10952</v>
      </c>
      <c r="B953" t="str">
        <f t="shared" si="28"/>
        <v>Oct</v>
      </c>
      <c r="C953">
        <f t="shared" si="29"/>
        <v>10</v>
      </c>
      <c r="D953" t="s">
        <v>298</v>
      </c>
      <c r="E953" t="s">
        <v>970</v>
      </c>
      <c r="F953" t="s">
        <v>26</v>
      </c>
      <c r="G953" t="s">
        <v>32</v>
      </c>
      <c r="H953" t="s">
        <v>54</v>
      </c>
      <c r="I953" t="s">
        <v>27</v>
      </c>
      <c r="J953" t="s">
        <v>77</v>
      </c>
      <c r="K953">
        <v>3</v>
      </c>
      <c r="L953" s="4">
        <v>4831.3900000000003</v>
      </c>
      <c r="M953">
        <v>677.88</v>
      </c>
    </row>
    <row r="954" spans="1:13" x14ac:dyDescent="0.25">
      <c r="A954">
        <v>10953</v>
      </c>
      <c r="B954" t="str">
        <f t="shared" si="28"/>
        <v>Jun</v>
      </c>
      <c r="C954">
        <f t="shared" si="29"/>
        <v>6</v>
      </c>
      <c r="D954" t="s">
        <v>743</v>
      </c>
      <c r="E954" t="s">
        <v>971</v>
      </c>
      <c r="F954" t="s">
        <v>26</v>
      </c>
      <c r="G954" t="s">
        <v>46</v>
      </c>
      <c r="H954" t="s">
        <v>71</v>
      </c>
      <c r="I954" t="s">
        <v>16</v>
      </c>
      <c r="J954" t="s">
        <v>43</v>
      </c>
      <c r="K954">
        <v>6</v>
      </c>
      <c r="L954" s="4">
        <v>3353.91</v>
      </c>
      <c r="M954">
        <v>784.75</v>
      </c>
    </row>
    <row r="955" spans="1:13" x14ac:dyDescent="0.25">
      <c r="A955">
        <v>10954</v>
      </c>
      <c r="B955" t="str">
        <f t="shared" si="28"/>
        <v>Jan</v>
      </c>
      <c r="C955">
        <f t="shared" si="29"/>
        <v>1</v>
      </c>
      <c r="D955" t="s">
        <v>82</v>
      </c>
      <c r="E955" t="s">
        <v>177</v>
      </c>
      <c r="F955" t="s">
        <v>26</v>
      </c>
      <c r="G955" t="s">
        <v>20</v>
      </c>
      <c r="H955" t="s">
        <v>21</v>
      </c>
      <c r="I955" t="s">
        <v>27</v>
      </c>
      <c r="J955" t="s">
        <v>28</v>
      </c>
      <c r="K955">
        <v>2</v>
      </c>
      <c r="L955" s="4">
        <v>3980.88</v>
      </c>
      <c r="M955">
        <v>843.49</v>
      </c>
    </row>
    <row r="956" spans="1:13" x14ac:dyDescent="0.25">
      <c r="A956">
        <v>10955</v>
      </c>
      <c r="B956" t="str">
        <f t="shared" si="28"/>
        <v>Jul</v>
      </c>
      <c r="C956">
        <f t="shared" si="29"/>
        <v>7</v>
      </c>
      <c r="D956" t="s">
        <v>924</v>
      </c>
      <c r="E956" t="s">
        <v>727</v>
      </c>
      <c r="F956" t="s">
        <v>31</v>
      </c>
      <c r="G956" t="s">
        <v>20</v>
      </c>
      <c r="H956" t="s">
        <v>21</v>
      </c>
      <c r="I956" t="s">
        <v>22</v>
      </c>
      <c r="J956" t="s">
        <v>48</v>
      </c>
      <c r="K956">
        <v>4</v>
      </c>
      <c r="L956" s="4">
        <v>2158.86</v>
      </c>
      <c r="M956">
        <v>386.06</v>
      </c>
    </row>
    <row r="957" spans="1:13" x14ac:dyDescent="0.25">
      <c r="A957">
        <v>10956</v>
      </c>
      <c r="B957" t="str">
        <f t="shared" si="28"/>
        <v>Sep</v>
      </c>
      <c r="C957">
        <f t="shared" si="29"/>
        <v>9</v>
      </c>
      <c r="D957" t="s">
        <v>328</v>
      </c>
      <c r="E957" t="s">
        <v>533</v>
      </c>
      <c r="F957" t="s">
        <v>26</v>
      </c>
      <c r="G957" t="s">
        <v>46</v>
      </c>
      <c r="H957" t="s">
        <v>71</v>
      </c>
      <c r="I957" t="s">
        <v>16</v>
      </c>
      <c r="J957" t="s">
        <v>81</v>
      </c>
      <c r="K957">
        <v>6</v>
      </c>
      <c r="L957" s="4">
        <v>4087.52</v>
      </c>
      <c r="M957">
        <v>131.26</v>
      </c>
    </row>
    <row r="958" spans="1:13" x14ac:dyDescent="0.25">
      <c r="A958">
        <v>10957</v>
      </c>
      <c r="B958" t="str">
        <f t="shared" si="28"/>
        <v>Jun</v>
      </c>
      <c r="C958">
        <f t="shared" si="29"/>
        <v>6</v>
      </c>
      <c r="D958" t="s">
        <v>132</v>
      </c>
      <c r="E958" t="s">
        <v>583</v>
      </c>
      <c r="F958" t="s">
        <v>26</v>
      </c>
      <c r="G958" t="s">
        <v>20</v>
      </c>
      <c r="H958" t="s">
        <v>76</v>
      </c>
      <c r="I958" t="s">
        <v>27</v>
      </c>
      <c r="J958" t="s">
        <v>77</v>
      </c>
      <c r="K958">
        <v>6</v>
      </c>
      <c r="L958" s="4">
        <v>1825.83</v>
      </c>
      <c r="M958">
        <v>286.58999999999997</v>
      </c>
    </row>
    <row r="959" spans="1:13" x14ac:dyDescent="0.25">
      <c r="A959">
        <v>10958</v>
      </c>
      <c r="B959" t="str">
        <f t="shared" si="28"/>
        <v>Dec</v>
      </c>
      <c r="C959">
        <f t="shared" si="29"/>
        <v>12</v>
      </c>
      <c r="D959" t="s">
        <v>463</v>
      </c>
      <c r="E959" t="s">
        <v>561</v>
      </c>
      <c r="F959" t="s">
        <v>31</v>
      </c>
      <c r="G959" t="s">
        <v>20</v>
      </c>
      <c r="H959" t="s">
        <v>76</v>
      </c>
      <c r="I959" t="s">
        <v>27</v>
      </c>
      <c r="J959" t="s">
        <v>104</v>
      </c>
      <c r="K959">
        <v>3</v>
      </c>
      <c r="L959" s="4">
        <v>2759.54</v>
      </c>
      <c r="M959">
        <v>316.7</v>
      </c>
    </row>
    <row r="960" spans="1:13" x14ac:dyDescent="0.25">
      <c r="A960">
        <v>10959</v>
      </c>
      <c r="B960" t="str">
        <f t="shared" si="28"/>
        <v>Sep</v>
      </c>
      <c r="C960">
        <f t="shared" si="29"/>
        <v>9</v>
      </c>
      <c r="D960" t="s">
        <v>722</v>
      </c>
      <c r="E960" t="s">
        <v>663</v>
      </c>
      <c r="F960" t="s">
        <v>13</v>
      </c>
      <c r="G960" t="s">
        <v>32</v>
      </c>
      <c r="H960" t="s">
        <v>33</v>
      </c>
      <c r="I960" t="s">
        <v>22</v>
      </c>
      <c r="J960" t="s">
        <v>23</v>
      </c>
      <c r="K960">
        <v>2</v>
      </c>
      <c r="L960" s="4">
        <v>3283.16</v>
      </c>
      <c r="M960">
        <v>628.85</v>
      </c>
    </row>
    <row r="961" spans="1:13" x14ac:dyDescent="0.25">
      <c r="A961">
        <v>10960</v>
      </c>
      <c r="B961" t="str">
        <f t="shared" si="28"/>
        <v>Oct</v>
      </c>
      <c r="C961">
        <f t="shared" si="29"/>
        <v>10</v>
      </c>
      <c r="D961" t="s">
        <v>324</v>
      </c>
      <c r="E961" t="s">
        <v>846</v>
      </c>
      <c r="F961" t="s">
        <v>26</v>
      </c>
      <c r="G961" t="s">
        <v>14</v>
      </c>
      <c r="H961" t="s">
        <v>37</v>
      </c>
      <c r="I961" t="s">
        <v>16</v>
      </c>
      <c r="J961" t="s">
        <v>81</v>
      </c>
      <c r="K961">
        <v>5</v>
      </c>
      <c r="L961" s="4">
        <v>4273.3599999999997</v>
      </c>
      <c r="M961">
        <v>362.33</v>
      </c>
    </row>
    <row r="962" spans="1:13" x14ac:dyDescent="0.25">
      <c r="A962">
        <v>10961</v>
      </c>
      <c r="B962" t="str">
        <f t="shared" ref="B962:B1001" si="30">TEXT(D962,"mmm")</f>
        <v>Jul</v>
      </c>
      <c r="C962">
        <f t="shared" ref="C962:C1001" si="31">MONTH(D962)</f>
        <v>7</v>
      </c>
      <c r="D962" t="s">
        <v>677</v>
      </c>
      <c r="E962" t="s">
        <v>972</v>
      </c>
      <c r="F962" t="s">
        <v>31</v>
      </c>
      <c r="G962" t="s">
        <v>46</v>
      </c>
      <c r="H962" t="s">
        <v>47</v>
      </c>
      <c r="I962" t="s">
        <v>22</v>
      </c>
      <c r="J962" t="s">
        <v>38</v>
      </c>
      <c r="K962">
        <v>8</v>
      </c>
      <c r="L962" s="4">
        <v>2123.38</v>
      </c>
      <c r="M962">
        <v>471.3</v>
      </c>
    </row>
    <row r="963" spans="1:13" x14ac:dyDescent="0.25">
      <c r="A963">
        <v>10962</v>
      </c>
      <c r="B963" t="str">
        <f t="shared" si="30"/>
        <v>May</v>
      </c>
      <c r="C963">
        <f t="shared" si="31"/>
        <v>5</v>
      </c>
      <c r="D963" t="s">
        <v>159</v>
      </c>
      <c r="E963" t="s">
        <v>568</v>
      </c>
      <c r="F963" t="s">
        <v>31</v>
      </c>
      <c r="G963" t="s">
        <v>46</v>
      </c>
      <c r="H963" t="s">
        <v>47</v>
      </c>
      <c r="I963" t="s">
        <v>27</v>
      </c>
      <c r="J963" t="s">
        <v>28</v>
      </c>
      <c r="K963">
        <v>5</v>
      </c>
      <c r="L963" s="4">
        <v>4208.57</v>
      </c>
      <c r="M963">
        <v>1005.56</v>
      </c>
    </row>
    <row r="964" spans="1:13" x14ac:dyDescent="0.25">
      <c r="A964">
        <v>10963</v>
      </c>
      <c r="B964" t="str">
        <f t="shared" si="30"/>
        <v>Jun</v>
      </c>
      <c r="C964">
        <f t="shared" si="31"/>
        <v>6</v>
      </c>
      <c r="D964" t="s">
        <v>743</v>
      </c>
      <c r="E964" t="s">
        <v>973</v>
      </c>
      <c r="F964" t="s">
        <v>26</v>
      </c>
      <c r="G964" t="s">
        <v>14</v>
      </c>
      <c r="H964" t="s">
        <v>15</v>
      </c>
      <c r="I964" t="s">
        <v>22</v>
      </c>
      <c r="J964" t="s">
        <v>48</v>
      </c>
      <c r="K964">
        <v>6</v>
      </c>
      <c r="L964" s="4">
        <v>4219.7700000000004</v>
      </c>
      <c r="M964">
        <v>684.34</v>
      </c>
    </row>
    <row r="965" spans="1:13" x14ac:dyDescent="0.25">
      <c r="A965">
        <v>10964</v>
      </c>
      <c r="B965" t="str">
        <f t="shared" si="30"/>
        <v>Oct</v>
      </c>
      <c r="C965">
        <f t="shared" si="31"/>
        <v>10</v>
      </c>
      <c r="D965" t="s">
        <v>250</v>
      </c>
      <c r="E965" t="s">
        <v>263</v>
      </c>
      <c r="F965" t="s">
        <v>26</v>
      </c>
      <c r="G965" t="s">
        <v>20</v>
      </c>
      <c r="H965" t="s">
        <v>21</v>
      </c>
      <c r="I965" t="s">
        <v>16</v>
      </c>
      <c r="J965" t="s">
        <v>51</v>
      </c>
      <c r="K965">
        <v>4</v>
      </c>
      <c r="L965" s="4">
        <v>3119.71</v>
      </c>
      <c r="M965">
        <v>457.59</v>
      </c>
    </row>
    <row r="966" spans="1:13" x14ac:dyDescent="0.25">
      <c r="A966">
        <v>10965</v>
      </c>
      <c r="B966" t="str">
        <f t="shared" si="30"/>
        <v>Sep</v>
      </c>
      <c r="C966">
        <f t="shared" si="31"/>
        <v>9</v>
      </c>
      <c r="D966" t="s">
        <v>243</v>
      </c>
      <c r="E966" t="s">
        <v>610</v>
      </c>
      <c r="F966" t="s">
        <v>13</v>
      </c>
      <c r="G966" t="s">
        <v>20</v>
      </c>
      <c r="H966" t="s">
        <v>21</v>
      </c>
      <c r="I966" t="s">
        <v>27</v>
      </c>
      <c r="J966" t="s">
        <v>28</v>
      </c>
      <c r="K966">
        <v>3</v>
      </c>
      <c r="L966" s="4">
        <v>2243.27</v>
      </c>
      <c r="M966">
        <v>87.89</v>
      </c>
    </row>
    <row r="967" spans="1:13" x14ac:dyDescent="0.25">
      <c r="A967">
        <v>10966</v>
      </c>
      <c r="B967" t="str">
        <f t="shared" si="30"/>
        <v>Nov</v>
      </c>
      <c r="C967">
        <f t="shared" si="31"/>
        <v>11</v>
      </c>
      <c r="D967" t="s">
        <v>862</v>
      </c>
      <c r="E967" t="s">
        <v>371</v>
      </c>
      <c r="F967" t="s">
        <v>13</v>
      </c>
      <c r="G967" t="s">
        <v>20</v>
      </c>
      <c r="H967" t="s">
        <v>76</v>
      </c>
      <c r="I967" t="s">
        <v>16</v>
      </c>
      <c r="J967" t="s">
        <v>43</v>
      </c>
      <c r="K967">
        <v>6</v>
      </c>
      <c r="L967" s="4">
        <v>1098.44</v>
      </c>
      <c r="M967">
        <v>36.79</v>
      </c>
    </row>
    <row r="968" spans="1:13" x14ac:dyDescent="0.25">
      <c r="A968">
        <v>10967</v>
      </c>
      <c r="B968" t="str">
        <f t="shared" si="30"/>
        <v>Nov</v>
      </c>
      <c r="C968">
        <f t="shared" si="31"/>
        <v>11</v>
      </c>
      <c r="D968" t="s">
        <v>209</v>
      </c>
      <c r="E968" t="s">
        <v>861</v>
      </c>
      <c r="F968" t="s">
        <v>31</v>
      </c>
      <c r="G968" t="s">
        <v>46</v>
      </c>
      <c r="H968" t="s">
        <v>71</v>
      </c>
      <c r="I968" t="s">
        <v>16</v>
      </c>
      <c r="J968" t="s">
        <v>81</v>
      </c>
      <c r="K968">
        <v>7</v>
      </c>
      <c r="L968" s="4">
        <v>223.92</v>
      </c>
      <c r="M968">
        <v>-46.05</v>
      </c>
    </row>
    <row r="969" spans="1:13" x14ac:dyDescent="0.25">
      <c r="A969">
        <v>10968</v>
      </c>
      <c r="B969" t="str">
        <f t="shared" si="30"/>
        <v>Jul</v>
      </c>
      <c r="C969">
        <f t="shared" si="31"/>
        <v>7</v>
      </c>
      <c r="D969" t="s">
        <v>924</v>
      </c>
      <c r="E969" t="s">
        <v>371</v>
      </c>
      <c r="F969" t="s">
        <v>31</v>
      </c>
      <c r="G969" t="s">
        <v>46</v>
      </c>
      <c r="H969" t="s">
        <v>71</v>
      </c>
      <c r="I969" t="s">
        <v>16</v>
      </c>
      <c r="J969" t="s">
        <v>43</v>
      </c>
      <c r="K969">
        <v>5</v>
      </c>
      <c r="L969" s="4">
        <v>1049.76</v>
      </c>
      <c r="M969">
        <v>200.43</v>
      </c>
    </row>
    <row r="970" spans="1:13" x14ac:dyDescent="0.25">
      <c r="A970">
        <v>10969</v>
      </c>
      <c r="B970" t="str">
        <f t="shared" si="30"/>
        <v>Aug</v>
      </c>
      <c r="C970">
        <f t="shared" si="31"/>
        <v>8</v>
      </c>
      <c r="D970" t="s">
        <v>644</v>
      </c>
      <c r="E970" t="s">
        <v>930</v>
      </c>
      <c r="F970" t="s">
        <v>26</v>
      </c>
      <c r="G970" t="s">
        <v>14</v>
      </c>
      <c r="H970" t="s">
        <v>37</v>
      </c>
      <c r="I970" t="s">
        <v>22</v>
      </c>
      <c r="J970" t="s">
        <v>48</v>
      </c>
      <c r="K970">
        <v>1</v>
      </c>
      <c r="L970" s="4">
        <v>3228.09</v>
      </c>
      <c r="M970">
        <v>618.61</v>
      </c>
    </row>
    <row r="971" spans="1:13" x14ac:dyDescent="0.25">
      <c r="A971">
        <v>10970</v>
      </c>
      <c r="B971" t="str">
        <f t="shared" si="30"/>
        <v>Apr</v>
      </c>
      <c r="C971">
        <f t="shared" si="31"/>
        <v>4</v>
      </c>
      <c r="D971" t="s">
        <v>409</v>
      </c>
      <c r="E971" t="s">
        <v>974</v>
      </c>
      <c r="F971" t="s">
        <v>26</v>
      </c>
      <c r="G971" t="s">
        <v>14</v>
      </c>
      <c r="H971" t="s">
        <v>15</v>
      </c>
      <c r="I971" t="s">
        <v>27</v>
      </c>
      <c r="J971" t="s">
        <v>28</v>
      </c>
      <c r="K971">
        <v>3</v>
      </c>
      <c r="L971" s="4">
        <v>554.61</v>
      </c>
      <c r="M971">
        <v>60.12</v>
      </c>
    </row>
    <row r="972" spans="1:13" x14ac:dyDescent="0.25">
      <c r="A972">
        <v>10971</v>
      </c>
      <c r="B972" t="str">
        <f t="shared" si="30"/>
        <v>Jul</v>
      </c>
      <c r="C972">
        <f t="shared" si="31"/>
        <v>7</v>
      </c>
      <c r="D972" t="s">
        <v>351</v>
      </c>
      <c r="E972" t="s">
        <v>352</v>
      </c>
      <c r="F972" t="s">
        <v>13</v>
      </c>
      <c r="G972" t="s">
        <v>20</v>
      </c>
      <c r="H972" t="s">
        <v>21</v>
      </c>
      <c r="I972" t="s">
        <v>27</v>
      </c>
      <c r="J972" t="s">
        <v>118</v>
      </c>
      <c r="K972">
        <v>8</v>
      </c>
      <c r="L972" s="4">
        <v>4800.16</v>
      </c>
      <c r="M972">
        <v>262.85000000000002</v>
      </c>
    </row>
    <row r="973" spans="1:13" x14ac:dyDescent="0.25">
      <c r="A973">
        <v>10972</v>
      </c>
      <c r="B973" t="str">
        <f t="shared" si="30"/>
        <v>Jan</v>
      </c>
      <c r="C973">
        <f t="shared" si="31"/>
        <v>1</v>
      </c>
      <c r="D973" t="s">
        <v>383</v>
      </c>
      <c r="E973" t="s">
        <v>196</v>
      </c>
      <c r="F973" t="s">
        <v>31</v>
      </c>
      <c r="G973" t="s">
        <v>20</v>
      </c>
      <c r="H973" t="s">
        <v>21</v>
      </c>
      <c r="I973" t="s">
        <v>22</v>
      </c>
      <c r="J973" t="s">
        <v>38</v>
      </c>
      <c r="K973">
        <v>1</v>
      </c>
      <c r="L973" s="4">
        <v>4527.83</v>
      </c>
      <c r="M973">
        <v>909.98</v>
      </c>
    </row>
    <row r="974" spans="1:13" x14ac:dyDescent="0.25">
      <c r="A974">
        <v>10973</v>
      </c>
      <c r="B974" t="str">
        <f t="shared" si="30"/>
        <v>Nov</v>
      </c>
      <c r="C974">
        <f t="shared" si="31"/>
        <v>11</v>
      </c>
      <c r="D974" t="s">
        <v>372</v>
      </c>
      <c r="E974" t="s">
        <v>923</v>
      </c>
      <c r="F974" t="s">
        <v>13</v>
      </c>
      <c r="G974" t="s">
        <v>32</v>
      </c>
      <c r="H974" t="s">
        <v>54</v>
      </c>
      <c r="I974" t="s">
        <v>16</v>
      </c>
      <c r="J974" t="s">
        <v>81</v>
      </c>
      <c r="K974">
        <v>3</v>
      </c>
      <c r="L974" s="4">
        <v>2656.57</v>
      </c>
      <c r="M974">
        <v>289.69</v>
      </c>
    </row>
    <row r="975" spans="1:13" x14ac:dyDescent="0.25">
      <c r="A975">
        <v>10974</v>
      </c>
      <c r="B975" t="str">
        <f t="shared" si="30"/>
        <v>Feb</v>
      </c>
      <c r="C975">
        <f t="shared" si="31"/>
        <v>2</v>
      </c>
      <c r="D975" t="s">
        <v>479</v>
      </c>
      <c r="E975" t="s">
        <v>856</v>
      </c>
      <c r="F975" t="s">
        <v>13</v>
      </c>
      <c r="G975" t="s">
        <v>14</v>
      </c>
      <c r="H975" t="s">
        <v>15</v>
      </c>
      <c r="I975" t="s">
        <v>22</v>
      </c>
      <c r="J975" t="s">
        <v>38</v>
      </c>
      <c r="K975">
        <v>2</v>
      </c>
      <c r="L975" s="4">
        <v>4503</v>
      </c>
      <c r="M975">
        <v>244.5</v>
      </c>
    </row>
    <row r="976" spans="1:13" x14ac:dyDescent="0.25">
      <c r="A976">
        <v>10975</v>
      </c>
      <c r="B976" t="str">
        <f t="shared" si="30"/>
        <v>May</v>
      </c>
      <c r="C976">
        <f t="shared" si="31"/>
        <v>5</v>
      </c>
      <c r="D976" t="s">
        <v>308</v>
      </c>
      <c r="E976" t="s">
        <v>667</v>
      </c>
      <c r="F976" t="s">
        <v>13</v>
      </c>
      <c r="G976" t="s">
        <v>46</v>
      </c>
      <c r="H976" t="s">
        <v>47</v>
      </c>
      <c r="I976" t="s">
        <v>27</v>
      </c>
      <c r="J976" t="s">
        <v>77</v>
      </c>
      <c r="K976">
        <v>4</v>
      </c>
      <c r="L976" s="4">
        <v>4770.82</v>
      </c>
      <c r="M976">
        <v>599.11</v>
      </c>
    </row>
    <row r="977" spans="1:13" x14ac:dyDescent="0.25">
      <c r="A977">
        <v>10976</v>
      </c>
      <c r="B977" t="str">
        <f t="shared" si="30"/>
        <v>May</v>
      </c>
      <c r="C977">
        <f t="shared" si="31"/>
        <v>5</v>
      </c>
      <c r="D977" t="s">
        <v>878</v>
      </c>
      <c r="E977" t="s">
        <v>381</v>
      </c>
      <c r="F977" t="s">
        <v>26</v>
      </c>
      <c r="G977" t="s">
        <v>20</v>
      </c>
      <c r="H977" t="s">
        <v>76</v>
      </c>
      <c r="I977" t="s">
        <v>16</v>
      </c>
      <c r="J977" t="s">
        <v>51</v>
      </c>
      <c r="K977">
        <v>4</v>
      </c>
      <c r="L977" s="4">
        <v>1325.46</v>
      </c>
      <c r="M977">
        <v>47.24</v>
      </c>
    </row>
    <row r="978" spans="1:13" x14ac:dyDescent="0.25">
      <c r="A978">
        <v>10977</v>
      </c>
      <c r="B978" t="str">
        <f t="shared" si="30"/>
        <v>Jun</v>
      </c>
      <c r="C978">
        <f t="shared" si="31"/>
        <v>6</v>
      </c>
      <c r="D978" t="s">
        <v>334</v>
      </c>
      <c r="E978" t="s">
        <v>975</v>
      </c>
      <c r="F978" t="s">
        <v>26</v>
      </c>
      <c r="G978" t="s">
        <v>32</v>
      </c>
      <c r="H978" t="s">
        <v>33</v>
      </c>
      <c r="I978" t="s">
        <v>22</v>
      </c>
      <c r="J978" t="s">
        <v>34</v>
      </c>
      <c r="K978">
        <v>7</v>
      </c>
      <c r="L978" s="4">
        <v>4426</v>
      </c>
      <c r="M978">
        <v>615.46</v>
      </c>
    </row>
    <row r="979" spans="1:13" x14ac:dyDescent="0.25">
      <c r="A979">
        <v>10978</v>
      </c>
      <c r="B979" t="str">
        <f t="shared" si="30"/>
        <v>Jan</v>
      </c>
      <c r="C979">
        <f t="shared" si="31"/>
        <v>1</v>
      </c>
      <c r="D979" t="s">
        <v>534</v>
      </c>
      <c r="E979" t="s">
        <v>575</v>
      </c>
      <c r="F979" t="s">
        <v>31</v>
      </c>
      <c r="G979" t="s">
        <v>20</v>
      </c>
      <c r="H979" t="s">
        <v>76</v>
      </c>
      <c r="I979" t="s">
        <v>22</v>
      </c>
      <c r="J979" t="s">
        <v>38</v>
      </c>
      <c r="K979">
        <v>6</v>
      </c>
      <c r="L979" s="4">
        <v>4499.68</v>
      </c>
      <c r="M979">
        <v>1101.74</v>
      </c>
    </row>
    <row r="980" spans="1:13" x14ac:dyDescent="0.25">
      <c r="A980">
        <v>10979</v>
      </c>
      <c r="B980" t="str">
        <f t="shared" si="30"/>
        <v>Apr</v>
      </c>
      <c r="C980">
        <f t="shared" si="31"/>
        <v>4</v>
      </c>
      <c r="D980" t="s">
        <v>901</v>
      </c>
      <c r="E980" t="s">
        <v>103</v>
      </c>
      <c r="F980" t="s">
        <v>26</v>
      </c>
      <c r="G980" t="s">
        <v>20</v>
      </c>
      <c r="H980" t="s">
        <v>76</v>
      </c>
      <c r="I980" t="s">
        <v>16</v>
      </c>
      <c r="J980" t="s">
        <v>17</v>
      </c>
      <c r="K980">
        <v>7</v>
      </c>
      <c r="L980" s="4">
        <v>246.71</v>
      </c>
      <c r="M980">
        <v>-8.84</v>
      </c>
    </row>
    <row r="981" spans="1:13" x14ac:dyDescent="0.25">
      <c r="A981">
        <v>10980</v>
      </c>
      <c r="B981" t="str">
        <f t="shared" si="30"/>
        <v>Dec</v>
      </c>
      <c r="C981">
        <f t="shared" si="31"/>
        <v>12</v>
      </c>
      <c r="D981" t="s">
        <v>463</v>
      </c>
      <c r="E981" t="s">
        <v>902</v>
      </c>
      <c r="F981" t="s">
        <v>13</v>
      </c>
      <c r="G981" t="s">
        <v>14</v>
      </c>
      <c r="H981" t="s">
        <v>15</v>
      </c>
      <c r="I981" t="s">
        <v>16</v>
      </c>
      <c r="J981" t="s">
        <v>17</v>
      </c>
      <c r="K981">
        <v>6</v>
      </c>
      <c r="L981" s="4">
        <v>810.69</v>
      </c>
      <c r="M981">
        <v>103.3</v>
      </c>
    </row>
    <row r="982" spans="1:13" x14ac:dyDescent="0.25">
      <c r="A982">
        <v>10981</v>
      </c>
      <c r="B982" t="str">
        <f t="shared" si="30"/>
        <v>Sep</v>
      </c>
      <c r="C982">
        <f t="shared" si="31"/>
        <v>9</v>
      </c>
      <c r="D982" t="s">
        <v>283</v>
      </c>
      <c r="E982" t="s">
        <v>976</v>
      </c>
      <c r="F982" t="s">
        <v>26</v>
      </c>
      <c r="G982" t="s">
        <v>32</v>
      </c>
      <c r="H982" t="s">
        <v>33</v>
      </c>
      <c r="I982" t="s">
        <v>27</v>
      </c>
      <c r="J982" t="s">
        <v>28</v>
      </c>
      <c r="K982">
        <v>4</v>
      </c>
      <c r="L982" s="4">
        <v>2852.04</v>
      </c>
      <c r="M982">
        <v>357.35</v>
      </c>
    </row>
    <row r="983" spans="1:13" x14ac:dyDescent="0.25">
      <c r="A983">
        <v>10982</v>
      </c>
      <c r="B983" t="str">
        <f t="shared" si="30"/>
        <v>Sep</v>
      </c>
      <c r="C983">
        <f t="shared" si="31"/>
        <v>9</v>
      </c>
      <c r="D983" t="s">
        <v>181</v>
      </c>
      <c r="E983" t="s">
        <v>653</v>
      </c>
      <c r="F983" t="s">
        <v>26</v>
      </c>
      <c r="G983" t="s">
        <v>32</v>
      </c>
      <c r="H983" t="s">
        <v>33</v>
      </c>
      <c r="I983" t="s">
        <v>16</v>
      </c>
      <c r="J983" t="s">
        <v>51</v>
      </c>
      <c r="K983">
        <v>7</v>
      </c>
      <c r="L983" s="4">
        <v>1657.14</v>
      </c>
      <c r="M983">
        <v>195.77</v>
      </c>
    </row>
    <row r="984" spans="1:13" x14ac:dyDescent="0.25">
      <c r="A984">
        <v>10983</v>
      </c>
      <c r="B984" t="str">
        <f t="shared" si="30"/>
        <v>Oct</v>
      </c>
      <c r="C984">
        <f t="shared" si="31"/>
        <v>10</v>
      </c>
      <c r="D984" t="s">
        <v>250</v>
      </c>
      <c r="E984" t="s">
        <v>977</v>
      </c>
      <c r="F984" t="s">
        <v>31</v>
      </c>
      <c r="G984" t="s">
        <v>32</v>
      </c>
      <c r="H984" t="s">
        <v>54</v>
      </c>
      <c r="I984" t="s">
        <v>22</v>
      </c>
      <c r="J984" t="s">
        <v>23</v>
      </c>
      <c r="K984">
        <v>8</v>
      </c>
      <c r="L984" s="4">
        <v>938.58</v>
      </c>
      <c r="M984">
        <v>85.34</v>
      </c>
    </row>
    <row r="985" spans="1:13" x14ac:dyDescent="0.25">
      <c r="A985">
        <v>10984</v>
      </c>
      <c r="B985" t="str">
        <f t="shared" si="30"/>
        <v>Sep</v>
      </c>
      <c r="C985">
        <f t="shared" si="31"/>
        <v>9</v>
      </c>
      <c r="D985" t="s">
        <v>286</v>
      </c>
      <c r="E985" t="s">
        <v>606</v>
      </c>
      <c r="F985" t="s">
        <v>31</v>
      </c>
      <c r="G985" t="s">
        <v>14</v>
      </c>
      <c r="H985" t="s">
        <v>15</v>
      </c>
      <c r="I985" t="s">
        <v>27</v>
      </c>
      <c r="J985" t="s">
        <v>28</v>
      </c>
      <c r="K985">
        <v>3</v>
      </c>
      <c r="L985" s="4">
        <v>4224.05</v>
      </c>
      <c r="M985">
        <v>546.99</v>
      </c>
    </row>
    <row r="986" spans="1:13" x14ac:dyDescent="0.25">
      <c r="A986">
        <v>10985</v>
      </c>
      <c r="B986" t="str">
        <f t="shared" si="30"/>
        <v>Jul</v>
      </c>
      <c r="C986">
        <f t="shared" si="31"/>
        <v>7</v>
      </c>
      <c r="D986" t="s">
        <v>942</v>
      </c>
      <c r="E986" t="s">
        <v>660</v>
      </c>
      <c r="F986" t="s">
        <v>13</v>
      </c>
      <c r="G986" t="s">
        <v>14</v>
      </c>
      <c r="H986" t="s">
        <v>15</v>
      </c>
      <c r="I986" t="s">
        <v>27</v>
      </c>
      <c r="J986" t="s">
        <v>118</v>
      </c>
      <c r="K986">
        <v>7</v>
      </c>
      <c r="L986" s="4">
        <v>3643.94</v>
      </c>
      <c r="M986">
        <v>357.05</v>
      </c>
    </row>
    <row r="987" spans="1:13" x14ac:dyDescent="0.25">
      <c r="A987">
        <v>10986</v>
      </c>
      <c r="B987" t="str">
        <f t="shared" si="30"/>
        <v>Nov</v>
      </c>
      <c r="C987">
        <f t="shared" si="31"/>
        <v>11</v>
      </c>
      <c r="D987" t="s">
        <v>330</v>
      </c>
      <c r="E987" t="s">
        <v>764</v>
      </c>
      <c r="F987" t="s">
        <v>31</v>
      </c>
      <c r="G987" t="s">
        <v>32</v>
      </c>
      <c r="H987" t="s">
        <v>54</v>
      </c>
      <c r="I987" t="s">
        <v>16</v>
      </c>
      <c r="J987" t="s">
        <v>81</v>
      </c>
      <c r="K987">
        <v>7</v>
      </c>
      <c r="L987" s="4">
        <v>1562.37</v>
      </c>
      <c r="M987">
        <v>413.11</v>
      </c>
    </row>
    <row r="988" spans="1:13" x14ac:dyDescent="0.25">
      <c r="A988">
        <v>10987</v>
      </c>
      <c r="B988" t="str">
        <f t="shared" si="30"/>
        <v>Aug</v>
      </c>
      <c r="C988">
        <f t="shared" si="31"/>
        <v>8</v>
      </c>
      <c r="D988" t="s">
        <v>978</v>
      </c>
      <c r="E988" t="s">
        <v>252</v>
      </c>
      <c r="F988" t="s">
        <v>26</v>
      </c>
      <c r="G988" t="s">
        <v>14</v>
      </c>
      <c r="H988" t="s">
        <v>15</v>
      </c>
      <c r="I988" t="s">
        <v>22</v>
      </c>
      <c r="J988" t="s">
        <v>23</v>
      </c>
      <c r="K988">
        <v>1</v>
      </c>
      <c r="L988" s="4">
        <v>779.8</v>
      </c>
      <c r="M988">
        <v>146.54</v>
      </c>
    </row>
    <row r="989" spans="1:13" x14ac:dyDescent="0.25">
      <c r="A989">
        <v>10988</v>
      </c>
      <c r="B989" t="str">
        <f t="shared" si="30"/>
        <v>Jan</v>
      </c>
      <c r="C989">
        <f t="shared" si="31"/>
        <v>1</v>
      </c>
      <c r="D989" t="s">
        <v>29</v>
      </c>
      <c r="E989" t="s">
        <v>259</v>
      </c>
      <c r="F989" t="s">
        <v>26</v>
      </c>
      <c r="G989" t="s">
        <v>14</v>
      </c>
      <c r="H989" t="s">
        <v>15</v>
      </c>
      <c r="I989" t="s">
        <v>16</v>
      </c>
      <c r="J989" t="s">
        <v>17</v>
      </c>
      <c r="K989">
        <v>1</v>
      </c>
      <c r="L989" s="4">
        <v>4677.1400000000003</v>
      </c>
      <c r="M989">
        <v>1222.8499999999999</v>
      </c>
    </row>
    <row r="990" spans="1:13" x14ac:dyDescent="0.25">
      <c r="A990">
        <v>10989</v>
      </c>
      <c r="B990" t="str">
        <f t="shared" si="30"/>
        <v>Aug</v>
      </c>
      <c r="C990">
        <f t="shared" si="31"/>
        <v>8</v>
      </c>
      <c r="D990" t="s">
        <v>644</v>
      </c>
      <c r="E990" t="s">
        <v>979</v>
      </c>
      <c r="F990" t="s">
        <v>26</v>
      </c>
      <c r="G990" t="s">
        <v>32</v>
      </c>
      <c r="H990" t="s">
        <v>33</v>
      </c>
      <c r="I990" t="s">
        <v>27</v>
      </c>
      <c r="J990" t="s">
        <v>28</v>
      </c>
      <c r="K990">
        <v>7</v>
      </c>
      <c r="L990" s="4">
        <v>1422.57</v>
      </c>
      <c r="M990">
        <v>117.93</v>
      </c>
    </row>
    <row r="991" spans="1:13" x14ac:dyDescent="0.25">
      <c r="A991">
        <v>10990</v>
      </c>
      <c r="B991" t="str">
        <f t="shared" si="30"/>
        <v>Sep</v>
      </c>
      <c r="C991">
        <f t="shared" si="31"/>
        <v>9</v>
      </c>
      <c r="D991" t="s">
        <v>955</v>
      </c>
      <c r="E991" t="s">
        <v>980</v>
      </c>
      <c r="F991" t="s">
        <v>31</v>
      </c>
      <c r="G991" t="s">
        <v>32</v>
      </c>
      <c r="H991" t="s">
        <v>33</v>
      </c>
      <c r="I991" t="s">
        <v>16</v>
      </c>
      <c r="J991" t="s">
        <v>51</v>
      </c>
      <c r="K991">
        <v>8</v>
      </c>
      <c r="L991" s="4">
        <v>3374.35</v>
      </c>
      <c r="M991">
        <v>584.82000000000005</v>
      </c>
    </row>
    <row r="992" spans="1:13" x14ac:dyDescent="0.25">
      <c r="A992">
        <v>10991</v>
      </c>
      <c r="B992" t="str">
        <f t="shared" si="30"/>
        <v>Jun</v>
      </c>
      <c r="C992">
        <f t="shared" si="31"/>
        <v>6</v>
      </c>
      <c r="D992" t="s">
        <v>685</v>
      </c>
      <c r="E992" t="s">
        <v>705</v>
      </c>
      <c r="F992" t="s">
        <v>26</v>
      </c>
      <c r="G992" t="s">
        <v>32</v>
      </c>
      <c r="H992" t="s">
        <v>54</v>
      </c>
      <c r="I992" t="s">
        <v>16</v>
      </c>
      <c r="J992" t="s">
        <v>51</v>
      </c>
      <c r="K992">
        <v>4</v>
      </c>
      <c r="L992" s="4">
        <v>549.82000000000005</v>
      </c>
      <c r="M992">
        <v>61.67</v>
      </c>
    </row>
    <row r="993" spans="1:13" x14ac:dyDescent="0.25">
      <c r="A993">
        <v>10992</v>
      </c>
      <c r="B993" t="str">
        <f t="shared" si="30"/>
        <v>Jul</v>
      </c>
      <c r="C993">
        <f t="shared" si="31"/>
        <v>7</v>
      </c>
      <c r="D993" t="s">
        <v>784</v>
      </c>
      <c r="E993" t="s">
        <v>787</v>
      </c>
      <c r="F993" t="s">
        <v>31</v>
      </c>
      <c r="G993" t="s">
        <v>46</v>
      </c>
      <c r="H993" t="s">
        <v>71</v>
      </c>
      <c r="I993" t="s">
        <v>22</v>
      </c>
      <c r="J993" t="s">
        <v>34</v>
      </c>
      <c r="K993">
        <v>1</v>
      </c>
      <c r="L993" s="4">
        <v>1141.1300000000001</v>
      </c>
      <c r="M993">
        <v>201.52</v>
      </c>
    </row>
    <row r="994" spans="1:13" x14ac:dyDescent="0.25">
      <c r="A994">
        <v>10993</v>
      </c>
      <c r="B994" t="str">
        <f t="shared" si="30"/>
        <v>Feb</v>
      </c>
      <c r="C994">
        <f t="shared" si="31"/>
        <v>2</v>
      </c>
      <c r="D994" t="s">
        <v>433</v>
      </c>
      <c r="E994" t="s">
        <v>981</v>
      </c>
      <c r="F994" t="s">
        <v>26</v>
      </c>
      <c r="G994" t="s">
        <v>14</v>
      </c>
      <c r="H994" t="s">
        <v>37</v>
      </c>
      <c r="I994" t="s">
        <v>22</v>
      </c>
      <c r="J994" t="s">
        <v>38</v>
      </c>
      <c r="K994">
        <v>5</v>
      </c>
      <c r="L994" s="4">
        <v>3571.71</v>
      </c>
      <c r="M994">
        <v>678.93</v>
      </c>
    </row>
    <row r="995" spans="1:13" x14ac:dyDescent="0.25">
      <c r="A995">
        <v>10994</v>
      </c>
      <c r="B995" t="str">
        <f t="shared" si="30"/>
        <v>Jun</v>
      </c>
      <c r="C995">
        <f t="shared" si="31"/>
        <v>6</v>
      </c>
      <c r="D995" t="s">
        <v>346</v>
      </c>
      <c r="E995" t="s">
        <v>779</v>
      </c>
      <c r="F995" t="s">
        <v>13</v>
      </c>
      <c r="G995" t="s">
        <v>32</v>
      </c>
      <c r="H995" t="s">
        <v>54</v>
      </c>
      <c r="I995" t="s">
        <v>27</v>
      </c>
      <c r="J995" t="s">
        <v>104</v>
      </c>
      <c r="K995">
        <v>7</v>
      </c>
      <c r="L995" s="4">
        <v>1020.97</v>
      </c>
      <c r="M995">
        <v>105.55</v>
      </c>
    </row>
    <row r="996" spans="1:13" x14ac:dyDescent="0.25">
      <c r="A996">
        <v>10995</v>
      </c>
      <c r="B996" t="str">
        <f t="shared" si="30"/>
        <v>Jan</v>
      </c>
      <c r="C996">
        <f t="shared" si="31"/>
        <v>1</v>
      </c>
      <c r="D996" t="s">
        <v>881</v>
      </c>
      <c r="E996" t="s">
        <v>240</v>
      </c>
      <c r="F996" t="s">
        <v>13</v>
      </c>
      <c r="G996" t="s">
        <v>14</v>
      </c>
      <c r="H996" t="s">
        <v>15</v>
      </c>
      <c r="I996" t="s">
        <v>27</v>
      </c>
      <c r="J996" t="s">
        <v>118</v>
      </c>
      <c r="K996">
        <v>2</v>
      </c>
      <c r="L996" s="4">
        <v>1278.76</v>
      </c>
      <c r="M996">
        <v>331.07</v>
      </c>
    </row>
    <row r="997" spans="1:13" x14ac:dyDescent="0.25">
      <c r="A997">
        <v>10996</v>
      </c>
      <c r="B997" t="str">
        <f t="shared" si="30"/>
        <v>Aug</v>
      </c>
      <c r="C997">
        <f t="shared" si="31"/>
        <v>8</v>
      </c>
      <c r="D997" t="s">
        <v>258</v>
      </c>
      <c r="E997" t="s">
        <v>982</v>
      </c>
      <c r="F997" t="s">
        <v>31</v>
      </c>
      <c r="G997" t="s">
        <v>20</v>
      </c>
      <c r="H997" t="s">
        <v>76</v>
      </c>
      <c r="I997" t="s">
        <v>27</v>
      </c>
      <c r="J997" t="s">
        <v>118</v>
      </c>
      <c r="K997">
        <v>2</v>
      </c>
      <c r="L997" s="4">
        <v>1836.69</v>
      </c>
      <c r="M997">
        <v>149.52000000000001</v>
      </c>
    </row>
    <row r="998" spans="1:13" x14ac:dyDescent="0.25">
      <c r="A998">
        <v>10997</v>
      </c>
      <c r="B998" t="str">
        <f t="shared" si="30"/>
        <v>Apr</v>
      </c>
      <c r="C998">
        <f t="shared" si="31"/>
        <v>4</v>
      </c>
      <c r="D998" t="s">
        <v>962</v>
      </c>
      <c r="E998" t="s">
        <v>513</v>
      </c>
      <c r="F998" t="s">
        <v>26</v>
      </c>
      <c r="G998" t="s">
        <v>14</v>
      </c>
      <c r="H998" t="s">
        <v>37</v>
      </c>
      <c r="I998" t="s">
        <v>27</v>
      </c>
      <c r="J998" t="s">
        <v>28</v>
      </c>
      <c r="K998">
        <v>2</v>
      </c>
      <c r="L998" s="4">
        <v>340.76</v>
      </c>
      <c r="M998">
        <v>-43.18</v>
      </c>
    </row>
    <row r="999" spans="1:13" x14ac:dyDescent="0.25">
      <c r="A999">
        <v>10998</v>
      </c>
      <c r="B999" t="str">
        <f t="shared" si="30"/>
        <v>May</v>
      </c>
      <c r="C999">
        <f t="shared" si="31"/>
        <v>5</v>
      </c>
      <c r="D999" t="s">
        <v>672</v>
      </c>
      <c r="E999" t="s">
        <v>259</v>
      </c>
      <c r="F999" t="s">
        <v>26</v>
      </c>
      <c r="G999" t="s">
        <v>20</v>
      </c>
      <c r="H999" t="s">
        <v>21</v>
      </c>
      <c r="I999" t="s">
        <v>16</v>
      </c>
      <c r="J999" t="s">
        <v>17</v>
      </c>
      <c r="K999">
        <v>8</v>
      </c>
      <c r="L999" s="4">
        <v>2641.23</v>
      </c>
      <c r="M999">
        <v>199.17</v>
      </c>
    </row>
    <row r="1000" spans="1:13" x14ac:dyDescent="0.25">
      <c r="A1000">
        <v>10999</v>
      </c>
      <c r="B1000" t="str">
        <f t="shared" si="30"/>
        <v>Nov</v>
      </c>
      <c r="C1000">
        <f t="shared" si="31"/>
        <v>11</v>
      </c>
      <c r="D1000" t="s">
        <v>348</v>
      </c>
      <c r="E1000" t="s">
        <v>735</v>
      </c>
      <c r="F1000" t="s">
        <v>13</v>
      </c>
      <c r="G1000" t="s">
        <v>14</v>
      </c>
      <c r="H1000" t="s">
        <v>15</v>
      </c>
      <c r="I1000" t="s">
        <v>22</v>
      </c>
      <c r="J1000" t="s">
        <v>38</v>
      </c>
      <c r="K1000">
        <v>4</v>
      </c>
      <c r="L1000" s="4">
        <v>422.65</v>
      </c>
      <c r="M1000">
        <v>9.16</v>
      </c>
    </row>
    <row r="1001" spans="1:13" x14ac:dyDescent="0.25">
      <c r="A1001">
        <v>11000</v>
      </c>
      <c r="B1001" t="str">
        <f t="shared" si="30"/>
        <v>Apr</v>
      </c>
      <c r="C1001">
        <f t="shared" si="31"/>
        <v>4</v>
      </c>
      <c r="D1001" t="s">
        <v>440</v>
      </c>
      <c r="E1001" t="s">
        <v>406</v>
      </c>
      <c r="F1001" t="s">
        <v>26</v>
      </c>
      <c r="G1001" t="s">
        <v>20</v>
      </c>
      <c r="H1001" t="s">
        <v>76</v>
      </c>
      <c r="I1001" t="s">
        <v>27</v>
      </c>
      <c r="J1001" t="s">
        <v>118</v>
      </c>
      <c r="K1001">
        <v>4</v>
      </c>
      <c r="L1001" s="4">
        <v>3696.23</v>
      </c>
      <c r="M1001">
        <v>970.72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B8" sqref="B8"/>
    </sheetView>
  </sheetViews>
  <sheetFormatPr defaultRowHeight="15" x14ac:dyDescent="0.25"/>
  <cols>
    <col min="1" max="1" width="10.5703125" customWidth="1"/>
    <col min="3" max="3" width="12.85546875" customWidth="1"/>
    <col min="4" max="4" width="14" customWidth="1"/>
    <col min="5" max="5" width="11" customWidth="1"/>
    <col min="6" max="6" width="9.28515625" customWidth="1"/>
    <col min="8" max="8" width="11" customWidth="1"/>
    <col min="9" max="9" width="10" customWidth="1"/>
    <col min="10" max="10" width="10.85546875" customWidth="1"/>
  </cols>
  <sheetData>
    <row r="1" spans="1:12" x14ac:dyDescent="0.25">
      <c r="A1" t="s">
        <v>0</v>
      </c>
      <c r="B1" t="s">
        <v>987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10001</v>
      </c>
      <c r="B2" t="s">
        <v>988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4</v>
      </c>
      <c r="K2">
        <v>1193.73</v>
      </c>
      <c r="L2">
        <v>211.8</v>
      </c>
    </row>
    <row r="3" spans="1:12" x14ac:dyDescent="0.25">
      <c r="A3">
        <v>10002</v>
      </c>
      <c r="B3" t="s">
        <v>988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  <c r="J3">
        <v>4</v>
      </c>
      <c r="K3">
        <v>1240.04</v>
      </c>
      <c r="L3">
        <v>192.51</v>
      </c>
    </row>
    <row r="4" spans="1:12" x14ac:dyDescent="0.25">
      <c r="A4">
        <v>10003</v>
      </c>
      <c r="B4" t="s">
        <v>988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 t="s">
        <v>27</v>
      </c>
      <c r="I4" t="s">
        <v>28</v>
      </c>
      <c r="J4">
        <v>1</v>
      </c>
      <c r="K4">
        <v>3818.16</v>
      </c>
      <c r="L4">
        <v>301.05</v>
      </c>
    </row>
    <row r="5" spans="1:12" x14ac:dyDescent="0.25">
      <c r="A5">
        <v>10004</v>
      </c>
      <c r="B5" t="s">
        <v>988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22</v>
      </c>
      <c r="I5" t="s">
        <v>34</v>
      </c>
      <c r="J5">
        <v>2</v>
      </c>
      <c r="K5">
        <v>1859</v>
      </c>
      <c r="L5">
        <v>226.35</v>
      </c>
    </row>
    <row r="6" spans="1:12" x14ac:dyDescent="0.25">
      <c r="A6">
        <v>10005</v>
      </c>
      <c r="B6" t="s">
        <v>988</v>
      </c>
      <c r="C6" t="s">
        <v>35</v>
      </c>
      <c r="D6" t="s">
        <v>36</v>
      </c>
      <c r="E6" t="s">
        <v>31</v>
      </c>
      <c r="F6" t="s">
        <v>14</v>
      </c>
      <c r="G6" t="s">
        <v>37</v>
      </c>
      <c r="H6" t="s">
        <v>22</v>
      </c>
      <c r="I6" t="s">
        <v>38</v>
      </c>
      <c r="J6">
        <v>6</v>
      </c>
      <c r="K6">
        <v>2929.03</v>
      </c>
      <c r="L6">
        <v>657.8</v>
      </c>
    </row>
    <row r="7" spans="1:12" x14ac:dyDescent="0.25">
      <c r="A7">
        <v>10006</v>
      </c>
      <c r="B7" t="s">
        <v>988</v>
      </c>
      <c r="C7" t="s">
        <v>39</v>
      </c>
      <c r="D7" t="s">
        <v>40</v>
      </c>
      <c r="E7" t="s">
        <v>13</v>
      </c>
      <c r="F7" t="s">
        <v>14</v>
      </c>
      <c r="G7" t="s">
        <v>15</v>
      </c>
      <c r="H7" t="s">
        <v>22</v>
      </c>
      <c r="I7" t="s">
        <v>34</v>
      </c>
      <c r="J7">
        <v>5</v>
      </c>
      <c r="K7">
        <v>2321.71</v>
      </c>
      <c r="L7">
        <v>583.96</v>
      </c>
    </row>
    <row r="8" spans="1:12" x14ac:dyDescent="0.25">
      <c r="A8">
        <v>10007</v>
      </c>
      <c r="B8" t="s">
        <v>988</v>
      </c>
      <c r="C8" t="s">
        <v>41</v>
      </c>
      <c r="D8" t="s">
        <v>42</v>
      </c>
      <c r="E8" t="s">
        <v>13</v>
      </c>
      <c r="F8" t="s">
        <v>32</v>
      </c>
      <c r="G8" t="s">
        <v>33</v>
      </c>
      <c r="H8" t="s">
        <v>16</v>
      </c>
      <c r="I8" t="s">
        <v>43</v>
      </c>
      <c r="J8">
        <v>4</v>
      </c>
      <c r="K8">
        <v>900.67</v>
      </c>
      <c r="L8">
        <v>31.52</v>
      </c>
    </row>
    <row r="9" spans="1:12" x14ac:dyDescent="0.25">
      <c r="A9">
        <v>10008</v>
      </c>
      <c r="B9" t="s">
        <v>988</v>
      </c>
      <c r="C9" t="s">
        <v>44</v>
      </c>
      <c r="D9" t="s">
        <v>45</v>
      </c>
      <c r="E9" t="s">
        <v>13</v>
      </c>
      <c r="F9" t="s">
        <v>46</v>
      </c>
      <c r="G9" t="s">
        <v>47</v>
      </c>
      <c r="H9" t="s">
        <v>22</v>
      </c>
      <c r="I9" t="s">
        <v>48</v>
      </c>
      <c r="J9">
        <v>1</v>
      </c>
      <c r="K9">
        <v>4044.72</v>
      </c>
      <c r="L9">
        <v>601.27</v>
      </c>
    </row>
    <row r="10" spans="1:12" x14ac:dyDescent="0.25">
      <c r="A10">
        <v>10009</v>
      </c>
      <c r="B10" t="s">
        <v>988</v>
      </c>
      <c r="C10" t="s">
        <v>49</v>
      </c>
      <c r="D10" t="s">
        <v>50</v>
      </c>
      <c r="E10" t="s">
        <v>13</v>
      </c>
      <c r="F10" t="s">
        <v>32</v>
      </c>
      <c r="G10" t="s">
        <v>33</v>
      </c>
      <c r="H10" t="s">
        <v>16</v>
      </c>
      <c r="I10" t="s">
        <v>51</v>
      </c>
      <c r="J10">
        <v>7</v>
      </c>
      <c r="K10">
        <v>4434.95</v>
      </c>
      <c r="L10">
        <v>920.21</v>
      </c>
    </row>
    <row r="11" spans="1:12" x14ac:dyDescent="0.25">
      <c r="A11">
        <v>10010</v>
      </c>
      <c r="B11" t="s">
        <v>988</v>
      </c>
      <c r="C11" t="s">
        <v>52</v>
      </c>
      <c r="D11" t="s">
        <v>53</v>
      </c>
      <c r="E11" t="s">
        <v>26</v>
      </c>
      <c r="F11" t="s">
        <v>32</v>
      </c>
      <c r="G11" t="s">
        <v>54</v>
      </c>
      <c r="H11" t="s">
        <v>16</v>
      </c>
      <c r="I11" t="s">
        <v>51</v>
      </c>
      <c r="J11">
        <v>6</v>
      </c>
      <c r="K11">
        <v>1174.67</v>
      </c>
      <c r="L11">
        <v>300.73</v>
      </c>
    </row>
    <row r="12" spans="1:12" x14ac:dyDescent="0.25">
      <c r="A12">
        <v>10011</v>
      </c>
      <c r="B12" t="s">
        <v>988</v>
      </c>
      <c r="C12" t="s">
        <v>55</v>
      </c>
      <c r="D12" t="s">
        <v>56</v>
      </c>
      <c r="E12" t="s">
        <v>31</v>
      </c>
      <c r="F12" t="s">
        <v>14</v>
      </c>
      <c r="G12" t="s">
        <v>15</v>
      </c>
      <c r="H12" t="s">
        <v>16</v>
      </c>
      <c r="I12" t="s">
        <v>43</v>
      </c>
      <c r="J12">
        <v>7</v>
      </c>
      <c r="K12">
        <v>3022.4</v>
      </c>
      <c r="L12">
        <v>382.26</v>
      </c>
    </row>
    <row r="13" spans="1:12" x14ac:dyDescent="0.25">
      <c r="A13">
        <v>10012</v>
      </c>
      <c r="B13" t="s">
        <v>988</v>
      </c>
      <c r="C13" t="s">
        <v>57</v>
      </c>
      <c r="D13" t="s">
        <v>58</v>
      </c>
      <c r="E13" t="s">
        <v>26</v>
      </c>
      <c r="F13" t="s">
        <v>14</v>
      </c>
      <c r="G13" t="s">
        <v>15</v>
      </c>
      <c r="H13" t="s">
        <v>16</v>
      </c>
      <c r="I13" t="s">
        <v>17</v>
      </c>
      <c r="J13">
        <v>6</v>
      </c>
      <c r="K13">
        <v>646.61</v>
      </c>
      <c r="L13">
        <v>57.24</v>
      </c>
    </row>
    <row r="14" spans="1:12" x14ac:dyDescent="0.25">
      <c r="A14">
        <v>10013</v>
      </c>
      <c r="B14" t="s">
        <v>988</v>
      </c>
      <c r="C14" t="s">
        <v>59</v>
      </c>
      <c r="D14" t="s">
        <v>60</v>
      </c>
      <c r="E14" t="s">
        <v>13</v>
      </c>
      <c r="F14" t="s">
        <v>14</v>
      </c>
      <c r="G14" t="s">
        <v>37</v>
      </c>
      <c r="H14" t="s">
        <v>16</v>
      </c>
      <c r="I14" t="s">
        <v>43</v>
      </c>
      <c r="J14">
        <v>3</v>
      </c>
      <c r="K14">
        <v>1932.18</v>
      </c>
      <c r="L14">
        <v>79.290000000000006</v>
      </c>
    </row>
    <row r="15" spans="1:12" x14ac:dyDescent="0.25">
      <c r="A15">
        <v>10014</v>
      </c>
      <c r="B15" t="s">
        <v>988</v>
      </c>
      <c r="C15" t="s">
        <v>61</v>
      </c>
      <c r="D15" t="s">
        <v>62</v>
      </c>
      <c r="E15" t="s">
        <v>13</v>
      </c>
      <c r="F15" t="s">
        <v>32</v>
      </c>
      <c r="G15" t="s">
        <v>54</v>
      </c>
      <c r="H15" t="s">
        <v>22</v>
      </c>
      <c r="I15" t="s">
        <v>23</v>
      </c>
      <c r="J15">
        <v>6</v>
      </c>
      <c r="K15">
        <v>4405.74</v>
      </c>
      <c r="L15">
        <v>1105.56</v>
      </c>
    </row>
    <row r="16" spans="1:12" x14ac:dyDescent="0.25">
      <c r="A16">
        <v>10015</v>
      </c>
      <c r="B16" t="s">
        <v>988</v>
      </c>
      <c r="C16" t="s">
        <v>63</v>
      </c>
      <c r="D16" t="s">
        <v>64</v>
      </c>
      <c r="E16" t="s">
        <v>13</v>
      </c>
      <c r="F16" t="s">
        <v>14</v>
      </c>
      <c r="G16" t="s">
        <v>15</v>
      </c>
      <c r="H16" t="s">
        <v>16</v>
      </c>
      <c r="I16" t="s">
        <v>51</v>
      </c>
      <c r="J16">
        <v>2</v>
      </c>
      <c r="K16">
        <v>4892.12</v>
      </c>
      <c r="L16">
        <v>883.55</v>
      </c>
    </row>
    <row r="17" spans="1:12" x14ac:dyDescent="0.25">
      <c r="A17">
        <v>10016</v>
      </c>
      <c r="B17" t="s">
        <v>988</v>
      </c>
      <c r="C17" t="s">
        <v>65</v>
      </c>
      <c r="D17" t="s">
        <v>66</v>
      </c>
      <c r="E17" t="s">
        <v>13</v>
      </c>
      <c r="F17" t="s">
        <v>46</v>
      </c>
      <c r="G17" t="s">
        <v>47</v>
      </c>
      <c r="H17" t="s">
        <v>16</v>
      </c>
      <c r="I17" t="s">
        <v>51</v>
      </c>
      <c r="J17">
        <v>4</v>
      </c>
      <c r="K17">
        <v>4651.68</v>
      </c>
      <c r="L17">
        <v>1041.9100000000001</v>
      </c>
    </row>
    <row r="18" spans="1:12" x14ac:dyDescent="0.25">
      <c r="A18">
        <v>10017</v>
      </c>
      <c r="B18" t="s">
        <v>988</v>
      </c>
      <c r="C18" t="s">
        <v>67</v>
      </c>
      <c r="D18" t="s">
        <v>68</v>
      </c>
      <c r="E18" t="s">
        <v>13</v>
      </c>
      <c r="F18" t="s">
        <v>32</v>
      </c>
      <c r="G18" t="s">
        <v>54</v>
      </c>
      <c r="H18" t="s">
        <v>16</v>
      </c>
      <c r="I18" t="s">
        <v>51</v>
      </c>
      <c r="J18">
        <v>2</v>
      </c>
      <c r="K18">
        <v>1314.74</v>
      </c>
      <c r="L18">
        <v>84.68</v>
      </c>
    </row>
    <row r="19" spans="1:12" x14ac:dyDescent="0.25">
      <c r="A19">
        <v>10018</v>
      </c>
      <c r="B19" t="s">
        <v>988</v>
      </c>
      <c r="C19" t="s">
        <v>69</v>
      </c>
      <c r="D19" t="s">
        <v>70</v>
      </c>
      <c r="E19" t="s">
        <v>31</v>
      </c>
      <c r="F19" t="s">
        <v>46</v>
      </c>
      <c r="G19" t="s">
        <v>71</v>
      </c>
      <c r="H19" t="s">
        <v>22</v>
      </c>
      <c r="I19" t="s">
        <v>23</v>
      </c>
      <c r="J19">
        <v>4</v>
      </c>
      <c r="K19">
        <v>430.26</v>
      </c>
      <c r="L19">
        <v>-8.15</v>
      </c>
    </row>
    <row r="20" spans="1:12" x14ac:dyDescent="0.25">
      <c r="A20">
        <v>10019</v>
      </c>
      <c r="B20" t="s">
        <v>988</v>
      </c>
      <c r="C20" t="s">
        <v>72</v>
      </c>
      <c r="D20" t="s">
        <v>73</v>
      </c>
      <c r="E20" t="s">
        <v>13</v>
      </c>
      <c r="F20" t="s">
        <v>20</v>
      </c>
      <c r="G20" t="s">
        <v>21</v>
      </c>
      <c r="H20" t="s">
        <v>16</v>
      </c>
      <c r="I20" t="s">
        <v>43</v>
      </c>
      <c r="J20">
        <v>8</v>
      </c>
      <c r="K20">
        <v>1290.69</v>
      </c>
      <c r="L20">
        <v>176.44</v>
      </c>
    </row>
    <row r="21" spans="1:12" x14ac:dyDescent="0.25">
      <c r="A21">
        <v>10020</v>
      </c>
      <c r="B21" t="s">
        <v>988</v>
      </c>
      <c r="C21" t="s">
        <v>74</v>
      </c>
      <c r="D21" t="s">
        <v>75</v>
      </c>
      <c r="E21" t="s">
        <v>26</v>
      </c>
      <c r="F21" t="s">
        <v>20</v>
      </c>
      <c r="G21" t="s">
        <v>76</v>
      </c>
      <c r="H21" t="s">
        <v>27</v>
      </c>
      <c r="I21" t="s">
        <v>77</v>
      </c>
      <c r="J21">
        <v>8</v>
      </c>
      <c r="K21">
        <v>4332.8</v>
      </c>
      <c r="L21">
        <v>209.97</v>
      </c>
    </row>
    <row r="22" spans="1:12" x14ac:dyDescent="0.25">
      <c r="A22">
        <v>10021</v>
      </c>
      <c r="B22" t="s">
        <v>988</v>
      </c>
      <c r="C22" t="s">
        <v>24</v>
      </c>
      <c r="D22" t="s">
        <v>78</v>
      </c>
      <c r="E22" t="s">
        <v>26</v>
      </c>
      <c r="F22" t="s">
        <v>20</v>
      </c>
      <c r="G22" t="s">
        <v>76</v>
      </c>
      <c r="H22" t="s">
        <v>22</v>
      </c>
      <c r="I22" t="s">
        <v>48</v>
      </c>
      <c r="J22">
        <v>4</v>
      </c>
      <c r="K22">
        <v>1032.02</v>
      </c>
      <c r="L22">
        <v>125.16</v>
      </c>
    </row>
    <row r="23" spans="1:12" x14ac:dyDescent="0.25">
      <c r="A23">
        <v>10022</v>
      </c>
      <c r="B23" t="s">
        <v>988</v>
      </c>
      <c r="C23" t="s">
        <v>79</v>
      </c>
      <c r="D23" t="s">
        <v>80</v>
      </c>
      <c r="E23" t="s">
        <v>26</v>
      </c>
      <c r="F23" t="s">
        <v>14</v>
      </c>
      <c r="G23" t="s">
        <v>37</v>
      </c>
      <c r="H23" t="s">
        <v>16</v>
      </c>
      <c r="I23" t="s">
        <v>81</v>
      </c>
      <c r="J23">
        <v>1</v>
      </c>
      <c r="K23">
        <v>3295.51</v>
      </c>
      <c r="L23">
        <v>608.67999999999995</v>
      </c>
    </row>
    <row r="24" spans="1:12" x14ac:dyDescent="0.25">
      <c r="A24">
        <v>10023</v>
      </c>
      <c r="B24" t="s">
        <v>988</v>
      </c>
      <c r="C24" t="s">
        <v>82</v>
      </c>
      <c r="D24" t="s">
        <v>83</v>
      </c>
      <c r="E24" t="s">
        <v>31</v>
      </c>
      <c r="F24" t="s">
        <v>46</v>
      </c>
      <c r="G24" t="s">
        <v>47</v>
      </c>
      <c r="H24" t="s">
        <v>27</v>
      </c>
      <c r="I24" t="s">
        <v>77</v>
      </c>
      <c r="J24">
        <v>4</v>
      </c>
      <c r="K24">
        <v>4336.79</v>
      </c>
      <c r="L24">
        <v>1178.8</v>
      </c>
    </row>
    <row r="25" spans="1:12" x14ac:dyDescent="0.25">
      <c r="A25">
        <v>10024</v>
      </c>
      <c r="B25" t="s">
        <v>988</v>
      </c>
      <c r="C25" t="s">
        <v>84</v>
      </c>
      <c r="D25" t="s">
        <v>85</v>
      </c>
      <c r="E25" t="s">
        <v>13</v>
      </c>
      <c r="F25" t="s">
        <v>20</v>
      </c>
      <c r="G25" t="s">
        <v>76</v>
      </c>
      <c r="H25" t="s">
        <v>27</v>
      </c>
      <c r="I25" t="s">
        <v>77</v>
      </c>
      <c r="J25">
        <v>3</v>
      </c>
      <c r="K25">
        <v>1030.5</v>
      </c>
      <c r="L25">
        <v>101.76</v>
      </c>
    </row>
    <row r="26" spans="1:12" x14ac:dyDescent="0.25">
      <c r="A26">
        <v>10025</v>
      </c>
      <c r="B26" t="s">
        <v>988</v>
      </c>
      <c r="C26" t="s">
        <v>86</v>
      </c>
      <c r="D26" t="s">
        <v>87</v>
      </c>
      <c r="E26" t="s">
        <v>26</v>
      </c>
      <c r="F26" t="s">
        <v>32</v>
      </c>
      <c r="G26" t="s">
        <v>33</v>
      </c>
      <c r="H26" t="s">
        <v>22</v>
      </c>
      <c r="I26" t="s">
        <v>34</v>
      </c>
      <c r="J26">
        <v>3</v>
      </c>
      <c r="K26">
        <v>378.71</v>
      </c>
      <c r="L26">
        <v>-18.12</v>
      </c>
    </row>
    <row r="27" spans="1:12" x14ac:dyDescent="0.25">
      <c r="A27">
        <v>10026</v>
      </c>
      <c r="B27" t="s">
        <v>988</v>
      </c>
      <c r="C27" t="s">
        <v>88</v>
      </c>
      <c r="D27" t="s">
        <v>89</v>
      </c>
      <c r="E27" t="s">
        <v>31</v>
      </c>
      <c r="F27" t="s">
        <v>46</v>
      </c>
      <c r="G27" t="s">
        <v>47</v>
      </c>
      <c r="H27" t="s">
        <v>22</v>
      </c>
      <c r="I27" t="s">
        <v>48</v>
      </c>
      <c r="J27">
        <v>1</v>
      </c>
      <c r="K27">
        <v>3134.97</v>
      </c>
      <c r="L27">
        <v>426.95</v>
      </c>
    </row>
    <row r="28" spans="1:12" x14ac:dyDescent="0.25">
      <c r="A28">
        <v>10027</v>
      </c>
      <c r="B28" t="s">
        <v>988</v>
      </c>
      <c r="C28" t="s">
        <v>90</v>
      </c>
      <c r="D28" t="s">
        <v>91</v>
      </c>
      <c r="E28" t="s">
        <v>31</v>
      </c>
      <c r="F28" t="s">
        <v>46</v>
      </c>
      <c r="G28" t="s">
        <v>47</v>
      </c>
      <c r="H28" t="s">
        <v>22</v>
      </c>
      <c r="I28" t="s">
        <v>38</v>
      </c>
      <c r="J28">
        <v>7</v>
      </c>
      <c r="K28">
        <v>741.3</v>
      </c>
      <c r="L28">
        <v>110.97</v>
      </c>
    </row>
    <row r="29" spans="1:12" x14ac:dyDescent="0.25">
      <c r="A29">
        <v>10028</v>
      </c>
      <c r="B29" t="s">
        <v>988</v>
      </c>
      <c r="C29" t="s">
        <v>92</v>
      </c>
      <c r="D29" t="s">
        <v>93</v>
      </c>
      <c r="E29" t="s">
        <v>31</v>
      </c>
      <c r="F29" t="s">
        <v>14</v>
      </c>
      <c r="G29" t="s">
        <v>15</v>
      </c>
      <c r="H29" t="s">
        <v>16</v>
      </c>
      <c r="I29" t="s">
        <v>43</v>
      </c>
      <c r="J29">
        <v>5</v>
      </c>
      <c r="K29">
        <v>749.04</v>
      </c>
      <c r="L29">
        <v>95.93</v>
      </c>
    </row>
    <row r="30" spans="1:12" x14ac:dyDescent="0.25">
      <c r="A30">
        <v>10029</v>
      </c>
      <c r="B30" t="s">
        <v>988</v>
      </c>
      <c r="C30" t="s">
        <v>94</v>
      </c>
      <c r="D30" t="s">
        <v>95</v>
      </c>
      <c r="E30" t="s">
        <v>26</v>
      </c>
      <c r="F30" t="s">
        <v>46</v>
      </c>
      <c r="G30" t="s">
        <v>47</v>
      </c>
      <c r="H30" t="s">
        <v>16</v>
      </c>
      <c r="I30" t="s">
        <v>17</v>
      </c>
      <c r="J30">
        <v>1</v>
      </c>
      <c r="K30">
        <v>3372.53</v>
      </c>
      <c r="L30">
        <v>543.04999999999995</v>
      </c>
    </row>
    <row r="31" spans="1:12" x14ac:dyDescent="0.25">
      <c r="A31">
        <v>10030</v>
      </c>
      <c r="B31" t="s">
        <v>988</v>
      </c>
      <c r="C31" t="s">
        <v>96</v>
      </c>
      <c r="D31" t="s">
        <v>97</v>
      </c>
      <c r="E31" t="s">
        <v>31</v>
      </c>
      <c r="F31" t="s">
        <v>32</v>
      </c>
      <c r="G31" t="s">
        <v>33</v>
      </c>
      <c r="H31" t="s">
        <v>22</v>
      </c>
      <c r="I31" t="s">
        <v>48</v>
      </c>
      <c r="J31">
        <v>5</v>
      </c>
      <c r="K31">
        <v>1480.61</v>
      </c>
      <c r="L31">
        <v>117.71</v>
      </c>
    </row>
    <row r="32" spans="1:12" x14ac:dyDescent="0.25">
      <c r="A32">
        <v>10031</v>
      </c>
      <c r="B32" t="s">
        <v>988</v>
      </c>
      <c r="C32" t="s">
        <v>98</v>
      </c>
      <c r="D32" t="s">
        <v>99</v>
      </c>
      <c r="E32" t="s">
        <v>31</v>
      </c>
      <c r="F32" t="s">
        <v>20</v>
      </c>
      <c r="G32" t="s">
        <v>76</v>
      </c>
      <c r="H32" t="s">
        <v>22</v>
      </c>
      <c r="I32" t="s">
        <v>23</v>
      </c>
      <c r="J32">
        <v>7</v>
      </c>
      <c r="K32">
        <v>4163.8100000000004</v>
      </c>
      <c r="L32">
        <v>220.73</v>
      </c>
    </row>
    <row r="33" spans="1:12" x14ac:dyDescent="0.25">
      <c r="A33">
        <v>10032</v>
      </c>
      <c r="B33" t="s">
        <v>988</v>
      </c>
      <c r="C33" t="s">
        <v>100</v>
      </c>
      <c r="D33" t="s">
        <v>101</v>
      </c>
      <c r="E33" t="s">
        <v>26</v>
      </c>
      <c r="F33" t="s">
        <v>46</v>
      </c>
      <c r="G33" t="s">
        <v>47</v>
      </c>
      <c r="H33" t="s">
        <v>16</v>
      </c>
      <c r="I33" t="s">
        <v>51</v>
      </c>
      <c r="J33">
        <v>1</v>
      </c>
      <c r="K33">
        <v>648.17999999999995</v>
      </c>
      <c r="L33">
        <v>116.45</v>
      </c>
    </row>
    <row r="34" spans="1:12" x14ac:dyDescent="0.25">
      <c r="A34">
        <v>10033</v>
      </c>
      <c r="B34" t="s">
        <v>988</v>
      </c>
      <c r="C34" t="s">
        <v>102</v>
      </c>
      <c r="D34" t="s">
        <v>103</v>
      </c>
      <c r="E34" t="s">
        <v>26</v>
      </c>
      <c r="F34" t="s">
        <v>32</v>
      </c>
      <c r="G34" t="s">
        <v>33</v>
      </c>
      <c r="H34" t="s">
        <v>27</v>
      </c>
      <c r="I34" t="s">
        <v>104</v>
      </c>
      <c r="J34">
        <v>1</v>
      </c>
      <c r="K34">
        <v>1610.47</v>
      </c>
      <c r="L34">
        <v>362.86</v>
      </c>
    </row>
    <row r="35" spans="1:12" x14ac:dyDescent="0.25">
      <c r="A35">
        <v>10034</v>
      </c>
      <c r="B35" t="s">
        <v>988</v>
      </c>
      <c r="C35" t="s">
        <v>105</v>
      </c>
      <c r="D35" t="s">
        <v>106</v>
      </c>
      <c r="E35" t="s">
        <v>26</v>
      </c>
      <c r="F35" t="s">
        <v>46</v>
      </c>
      <c r="G35" t="s">
        <v>71</v>
      </c>
      <c r="H35" t="s">
        <v>27</v>
      </c>
      <c r="I35" t="s">
        <v>77</v>
      </c>
      <c r="J35">
        <v>3</v>
      </c>
      <c r="K35">
        <v>4636.24</v>
      </c>
      <c r="L35">
        <v>489.95</v>
      </c>
    </row>
    <row r="36" spans="1:12" x14ac:dyDescent="0.25">
      <c r="A36">
        <v>10035</v>
      </c>
      <c r="B36" t="s">
        <v>988</v>
      </c>
      <c r="C36" t="s">
        <v>107</v>
      </c>
      <c r="D36" t="s">
        <v>108</v>
      </c>
      <c r="E36" t="s">
        <v>31</v>
      </c>
      <c r="F36" t="s">
        <v>46</v>
      </c>
      <c r="G36" t="s">
        <v>47</v>
      </c>
      <c r="H36" t="s">
        <v>27</v>
      </c>
      <c r="I36" t="s">
        <v>104</v>
      </c>
      <c r="J36">
        <v>5</v>
      </c>
      <c r="K36">
        <v>880.07</v>
      </c>
      <c r="L36">
        <v>160.04</v>
      </c>
    </row>
    <row r="37" spans="1:12" x14ac:dyDescent="0.25">
      <c r="A37">
        <v>10036</v>
      </c>
      <c r="B37" t="s">
        <v>988</v>
      </c>
      <c r="C37" t="s">
        <v>63</v>
      </c>
      <c r="D37" t="s">
        <v>109</v>
      </c>
      <c r="E37" t="s">
        <v>31</v>
      </c>
      <c r="F37" t="s">
        <v>46</v>
      </c>
      <c r="G37" t="s">
        <v>71</v>
      </c>
      <c r="H37" t="s">
        <v>27</v>
      </c>
      <c r="I37" t="s">
        <v>28</v>
      </c>
      <c r="J37">
        <v>5</v>
      </c>
      <c r="K37">
        <v>4120.63</v>
      </c>
      <c r="L37">
        <v>1081.3399999999999</v>
      </c>
    </row>
    <row r="38" spans="1:12" x14ac:dyDescent="0.25">
      <c r="A38">
        <v>10037</v>
      </c>
      <c r="B38" t="s">
        <v>988</v>
      </c>
      <c r="C38" t="s">
        <v>110</v>
      </c>
      <c r="D38" t="s">
        <v>111</v>
      </c>
      <c r="E38" t="s">
        <v>26</v>
      </c>
      <c r="F38" t="s">
        <v>32</v>
      </c>
      <c r="G38" t="s">
        <v>54</v>
      </c>
      <c r="H38" t="s">
        <v>22</v>
      </c>
      <c r="I38" t="s">
        <v>38</v>
      </c>
      <c r="J38">
        <v>6</v>
      </c>
      <c r="K38">
        <v>3243.26</v>
      </c>
      <c r="L38">
        <v>388.11</v>
      </c>
    </row>
    <row r="39" spans="1:12" x14ac:dyDescent="0.25">
      <c r="A39">
        <v>10038</v>
      </c>
      <c r="B39" t="s">
        <v>988</v>
      </c>
      <c r="C39" t="s">
        <v>112</v>
      </c>
      <c r="D39" t="s">
        <v>113</v>
      </c>
      <c r="E39" t="s">
        <v>13</v>
      </c>
      <c r="F39" t="s">
        <v>14</v>
      </c>
      <c r="G39" t="s">
        <v>37</v>
      </c>
      <c r="H39" t="s">
        <v>22</v>
      </c>
      <c r="I39" t="s">
        <v>38</v>
      </c>
      <c r="J39">
        <v>1</v>
      </c>
      <c r="K39">
        <v>631.16999999999996</v>
      </c>
      <c r="L39">
        <v>27.27</v>
      </c>
    </row>
    <row r="40" spans="1:12" x14ac:dyDescent="0.25">
      <c r="A40">
        <v>10039</v>
      </c>
      <c r="B40" t="s">
        <v>988</v>
      </c>
      <c r="C40" t="s">
        <v>114</v>
      </c>
      <c r="D40" t="s">
        <v>115</v>
      </c>
      <c r="E40" t="s">
        <v>13</v>
      </c>
      <c r="F40" t="s">
        <v>14</v>
      </c>
      <c r="G40" t="s">
        <v>37</v>
      </c>
      <c r="H40" t="s">
        <v>16</v>
      </c>
      <c r="I40" t="s">
        <v>43</v>
      </c>
      <c r="J40">
        <v>5</v>
      </c>
      <c r="K40">
        <v>317.49</v>
      </c>
      <c r="L40">
        <v>-1.51</v>
      </c>
    </row>
    <row r="41" spans="1:12" x14ac:dyDescent="0.25">
      <c r="A41">
        <v>10040</v>
      </c>
      <c r="B41" t="s">
        <v>988</v>
      </c>
      <c r="C41" t="s">
        <v>116</v>
      </c>
      <c r="D41" t="s">
        <v>117</v>
      </c>
      <c r="E41" t="s">
        <v>31</v>
      </c>
      <c r="F41" t="s">
        <v>46</v>
      </c>
      <c r="G41" t="s">
        <v>47</v>
      </c>
      <c r="H41" t="s">
        <v>27</v>
      </c>
      <c r="I41" t="s">
        <v>118</v>
      </c>
      <c r="J41">
        <v>6</v>
      </c>
      <c r="K41">
        <v>3153.46</v>
      </c>
      <c r="L41">
        <v>668.2</v>
      </c>
    </row>
    <row r="42" spans="1:12" x14ac:dyDescent="0.25">
      <c r="A42">
        <v>10041</v>
      </c>
      <c r="B42" t="s">
        <v>988</v>
      </c>
      <c r="C42" t="s">
        <v>119</v>
      </c>
      <c r="D42" t="s">
        <v>120</v>
      </c>
      <c r="E42" t="s">
        <v>13</v>
      </c>
      <c r="F42" t="s">
        <v>20</v>
      </c>
      <c r="G42" t="s">
        <v>76</v>
      </c>
      <c r="H42" t="s">
        <v>27</v>
      </c>
      <c r="I42" t="s">
        <v>28</v>
      </c>
      <c r="J42">
        <v>3</v>
      </c>
      <c r="K42">
        <v>1040.02</v>
      </c>
      <c r="L42">
        <v>186.97</v>
      </c>
    </row>
    <row r="43" spans="1:12" x14ac:dyDescent="0.25">
      <c r="A43">
        <v>10042</v>
      </c>
      <c r="B43" t="s">
        <v>988</v>
      </c>
      <c r="C43" t="s">
        <v>121</v>
      </c>
      <c r="D43" t="s">
        <v>122</v>
      </c>
      <c r="E43" t="s">
        <v>31</v>
      </c>
      <c r="F43" t="s">
        <v>32</v>
      </c>
      <c r="G43" t="s">
        <v>54</v>
      </c>
      <c r="H43" t="s">
        <v>16</v>
      </c>
      <c r="I43" t="s">
        <v>81</v>
      </c>
      <c r="J43">
        <v>5</v>
      </c>
      <c r="K43">
        <v>1505.88</v>
      </c>
      <c r="L43">
        <v>179.14</v>
      </c>
    </row>
    <row r="44" spans="1:12" x14ac:dyDescent="0.25">
      <c r="A44">
        <v>10043</v>
      </c>
      <c r="B44" t="s">
        <v>988</v>
      </c>
      <c r="C44" t="s">
        <v>63</v>
      </c>
      <c r="D44" t="s">
        <v>123</v>
      </c>
      <c r="E44" t="s">
        <v>31</v>
      </c>
      <c r="F44" t="s">
        <v>20</v>
      </c>
      <c r="G44" t="s">
        <v>76</v>
      </c>
      <c r="H44" t="s">
        <v>16</v>
      </c>
      <c r="I44" t="s">
        <v>43</v>
      </c>
      <c r="J44">
        <v>8</v>
      </c>
      <c r="K44">
        <v>3989.3</v>
      </c>
      <c r="L44">
        <v>1083.1300000000001</v>
      </c>
    </row>
    <row r="45" spans="1:12" x14ac:dyDescent="0.25">
      <c r="A45">
        <v>10044</v>
      </c>
      <c r="B45" t="s">
        <v>988</v>
      </c>
      <c r="C45" t="s">
        <v>124</v>
      </c>
      <c r="D45" t="s">
        <v>125</v>
      </c>
      <c r="E45" t="s">
        <v>26</v>
      </c>
      <c r="F45" t="s">
        <v>32</v>
      </c>
      <c r="G45" t="s">
        <v>33</v>
      </c>
      <c r="H45" t="s">
        <v>22</v>
      </c>
      <c r="I45" t="s">
        <v>38</v>
      </c>
      <c r="J45">
        <v>4</v>
      </c>
      <c r="K45">
        <v>4052.16</v>
      </c>
      <c r="L45">
        <v>347.26</v>
      </c>
    </row>
    <row r="46" spans="1:12" x14ac:dyDescent="0.25">
      <c r="A46">
        <v>10045</v>
      </c>
      <c r="B46" t="s">
        <v>988</v>
      </c>
      <c r="C46" t="s">
        <v>126</v>
      </c>
      <c r="D46" t="s">
        <v>127</v>
      </c>
      <c r="E46" t="s">
        <v>26</v>
      </c>
      <c r="F46" t="s">
        <v>20</v>
      </c>
      <c r="G46" t="s">
        <v>76</v>
      </c>
      <c r="H46" t="s">
        <v>16</v>
      </c>
      <c r="I46" t="s">
        <v>43</v>
      </c>
      <c r="J46">
        <v>7</v>
      </c>
      <c r="K46">
        <v>2522.4499999999998</v>
      </c>
      <c r="L46">
        <v>214.38</v>
      </c>
    </row>
    <row r="47" spans="1:12" x14ac:dyDescent="0.25">
      <c r="A47">
        <v>10046</v>
      </c>
      <c r="B47" t="s">
        <v>988</v>
      </c>
      <c r="C47" t="s">
        <v>128</v>
      </c>
      <c r="D47" t="s">
        <v>129</v>
      </c>
      <c r="E47" t="s">
        <v>31</v>
      </c>
      <c r="F47" t="s">
        <v>20</v>
      </c>
      <c r="G47" t="s">
        <v>21</v>
      </c>
      <c r="H47" t="s">
        <v>22</v>
      </c>
      <c r="I47" t="s">
        <v>34</v>
      </c>
      <c r="J47">
        <v>1</v>
      </c>
      <c r="K47">
        <v>2831.29</v>
      </c>
      <c r="L47">
        <v>778.83</v>
      </c>
    </row>
    <row r="48" spans="1:12" x14ac:dyDescent="0.25">
      <c r="A48">
        <v>10047</v>
      </c>
      <c r="B48" t="s">
        <v>988</v>
      </c>
      <c r="C48" t="s">
        <v>130</v>
      </c>
      <c r="D48" t="s">
        <v>131</v>
      </c>
      <c r="E48" t="s">
        <v>26</v>
      </c>
      <c r="F48" t="s">
        <v>32</v>
      </c>
      <c r="G48" t="s">
        <v>54</v>
      </c>
      <c r="H48" t="s">
        <v>16</v>
      </c>
      <c r="I48" t="s">
        <v>51</v>
      </c>
      <c r="J48">
        <v>8</v>
      </c>
      <c r="K48">
        <v>4496.32</v>
      </c>
      <c r="L48">
        <v>1013.28</v>
      </c>
    </row>
    <row r="49" spans="1:12" x14ac:dyDescent="0.25">
      <c r="A49">
        <v>10048</v>
      </c>
      <c r="B49" t="s">
        <v>988</v>
      </c>
      <c r="C49" t="s">
        <v>132</v>
      </c>
      <c r="D49" t="s">
        <v>133</v>
      </c>
      <c r="E49" t="s">
        <v>13</v>
      </c>
      <c r="F49" t="s">
        <v>32</v>
      </c>
      <c r="G49" t="s">
        <v>54</v>
      </c>
      <c r="H49" t="s">
        <v>16</v>
      </c>
      <c r="I49" t="s">
        <v>43</v>
      </c>
      <c r="J49">
        <v>5</v>
      </c>
      <c r="K49">
        <v>2255.38</v>
      </c>
      <c r="L49">
        <v>491.65</v>
      </c>
    </row>
    <row r="50" spans="1:12" x14ac:dyDescent="0.25">
      <c r="A50">
        <v>10049</v>
      </c>
      <c r="B50" t="s">
        <v>988</v>
      </c>
      <c r="C50" t="s">
        <v>134</v>
      </c>
      <c r="D50" t="s">
        <v>135</v>
      </c>
      <c r="E50" t="s">
        <v>13</v>
      </c>
      <c r="F50" t="s">
        <v>14</v>
      </c>
      <c r="G50" t="s">
        <v>15</v>
      </c>
      <c r="H50" t="s">
        <v>22</v>
      </c>
      <c r="I50" t="s">
        <v>48</v>
      </c>
      <c r="J50">
        <v>7</v>
      </c>
      <c r="K50">
        <v>3500.35</v>
      </c>
      <c r="L50">
        <v>786.77</v>
      </c>
    </row>
    <row r="51" spans="1:12" x14ac:dyDescent="0.25">
      <c r="A51">
        <v>10050</v>
      </c>
      <c r="B51" t="s">
        <v>988</v>
      </c>
      <c r="C51" t="s">
        <v>136</v>
      </c>
      <c r="D51" t="s">
        <v>137</v>
      </c>
      <c r="E51" t="s">
        <v>13</v>
      </c>
      <c r="F51" t="s">
        <v>20</v>
      </c>
      <c r="G51" t="s">
        <v>76</v>
      </c>
      <c r="H51" t="s">
        <v>22</v>
      </c>
      <c r="I51" t="s">
        <v>48</v>
      </c>
      <c r="J51">
        <v>7</v>
      </c>
      <c r="K51">
        <v>2008.44</v>
      </c>
      <c r="L51">
        <v>392.34</v>
      </c>
    </row>
    <row r="52" spans="1:12" x14ac:dyDescent="0.25">
      <c r="A52">
        <v>10051</v>
      </c>
      <c r="B52" t="s">
        <v>988</v>
      </c>
      <c r="C52" t="s">
        <v>138</v>
      </c>
      <c r="D52" t="s">
        <v>139</v>
      </c>
      <c r="E52" t="s">
        <v>13</v>
      </c>
      <c r="F52" t="s">
        <v>20</v>
      </c>
      <c r="G52" t="s">
        <v>76</v>
      </c>
      <c r="H52" t="s">
        <v>22</v>
      </c>
      <c r="I52" t="s">
        <v>38</v>
      </c>
      <c r="J52">
        <v>5</v>
      </c>
      <c r="K52">
        <v>3792.03</v>
      </c>
      <c r="L52">
        <v>903.33</v>
      </c>
    </row>
    <row r="53" spans="1:12" x14ac:dyDescent="0.25">
      <c r="A53">
        <v>10052</v>
      </c>
      <c r="B53" t="s">
        <v>988</v>
      </c>
      <c r="C53" t="s">
        <v>140</v>
      </c>
      <c r="D53" t="s">
        <v>141</v>
      </c>
      <c r="E53" t="s">
        <v>26</v>
      </c>
      <c r="F53" t="s">
        <v>46</v>
      </c>
      <c r="G53" t="s">
        <v>47</v>
      </c>
      <c r="H53" t="s">
        <v>22</v>
      </c>
      <c r="I53" t="s">
        <v>38</v>
      </c>
      <c r="J53">
        <v>7</v>
      </c>
      <c r="K53">
        <v>2479.65</v>
      </c>
      <c r="L53">
        <v>298.14999999999998</v>
      </c>
    </row>
    <row r="54" spans="1:12" x14ac:dyDescent="0.25">
      <c r="A54">
        <v>10053</v>
      </c>
      <c r="B54" t="s">
        <v>988</v>
      </c>
      <c r="C54" t="s">
        <v>142</v>
      </c>
      <c r="D54" t="s">
        <v>143</v>
      </c>
      <c r="E54" t="s">
        <v>31</v>
      </c>
      <c r="F54" t="s">
        <v>20</v>
      </c>
      <c r="G54" t="s">
        <v>21</v>
      </c>
      <c r="H54" t="s">
        <v>16</v>
      </c>
      <c r="I54" t="s">
        <v>81</v>
      </c>
      <c r="J54">
        <v>7</v>
      </c>
      <c r="K54">
        <v>3000.27</v>
      </c>
      <c r="L54">
        <v>638.91</v>
      </c>
    </row>
    <row r="55" spans="1:12" x14ac:dyDescent="0.25">
      <c r="A55">
        <v>10054</v>
      </c>
      <c r="B55" t="s">
        <v>988</v>
      </c>
      <c r="C55" t="s">
        <v>144</v>
      </c>
      <c r="D55" t="s">
        <v>145</v>
      </c>
      <c r="E55" t="s">
        <v>31</v>
      </c>
      <c r="F55" t="s">
        <v>46</v>
      </c>
      <c r="G55" t="s">
        <v>71</v>
      </c>
      <c r="H55" t="s">
        <v>27</v>
      </c>
      <c r="I55" t="s">
        <v>77</v>
      </c>
      <c r="J55">
        <v>6</v>
      </c>
      <c r="K55">
        <v>1137.1400000000001</v>
      </c>
      <c r="L55">
        <v>73.650000000000006</v>
      </c>
    </row>
    <row r="56" spans="1:12" x14ac:dyDescent="0.25">
      <c r="A56">
        <v>10055</v>
      </c>
      <c r="B56" t="s">
        <v>988</v>
      </c>
      <c r="C56" t="s">
        <v>146</v>
      </c>
      <c r="D56" t="s">
        <v>147</v>
      </c>
      <c r="E56" t="s">
        <v>26</v>
      </c>
      <c r="F56" t="s">
        <v>32</v>
      </c>
      <c r="G56" t="s">
        <v>33</v>
      </c>
      <c r="H56" t="s">
        <v>27</v>
      </c>
      <c r="I56" t="s">
        <v>118</v>
      </c>
      <c r="J56">
        <v>1</v>
      </c>
      <c r="K56">
        <v>4999.55</v>
      </c>
      <c r="L56">
        <v>622.37</v>
      </c>
    </row>
    <row r="57" spans="1:12" x14ac:dyDescent="0.25">
      <c r="A57">
        <v>10056</v>
      </c>
      <c r="B57" t="s">
        <v>988</v>
      </c>
      <c r="C57" t="s">
        <v>148</v>
      </c>
      <c r="D57" t="s">
        <v>149</v>
      </c>
      <c r="E57" t="s">
        <v>13</v>
      </c>
      <c r="F57" t="s">
        <v>46</v>
      </c>
      <c r="G57" t="s">
        <v>71</v>
      </c>
      <c r="H57" t="s">
        <v>22</v>
      </c>
      <c r="I57" t="s">
        <v>48</v>
      </c>
      <c r="J57">
        <v>4</v>
      </c>
      <c r="K57">
        <v>718.48</v>
      </c>
      <c r="L57">
        <v>99.78</v>
      </c>
    </row>
    <row r="58" spans="1:12" x14ac:dyDescent="0.25">
      <c r="A58">
        <v>10057</v>
      </c>
      <c r="B58" t="s">
        <v>988</v>
      </c>
      <c r="C58" t="s">
        <v>65</v>
      </c>
      <c r="D58" t="s">
        <v>150</v>
      </c>
      <c r="E58" t="s">
        <v>13</v>
      </c>
      <c r="F58" t="s">
        <v>32</v>
      </c>
      <c r="G58" t="s">
        <v>54</v>
      </c>
      <c r="H58" t="s">
        <v>22</v>
      </c>
      <c r="I58" t="s">
        <v>23</v>
      </c>
      <c r="J58">
        <v>3</v>
      </c>
      <c r="K58">
        <v>4827.13</v>
      </c>
      <c r="L58">
        <v>369.24</v>
      </c>
    </row>
    <row r="59" spans="1:12" x14ac:dyDescent="0.25">
      <c r="A59">
        <v>10058</v>
      </c>
      <c r="B59" t="s">
        <v>988</v>
      </c>
      <c r="C59" t="s">
        <v>151</v>
      </c>
      <c r="D59" t="s">
        <v>36</v>
      </c>
      <c r="E59" t="s">
        <v>31</v>
      </c>
      <c r="F59" t="s">
        <v>20</v>
      </c>
      <c r="G59" t="s">
        <v>76</v>
      </c>
      <c r="H59" t="s">
        <v>16</v>
      </c>
      <c r="I59" t="s">
        <v>43</v>
      </c>
      <c r="J59">
        <v>2</v>
      </c>
      <c r="K59">
        <v>3001.28</v>
      </c>
      <c r="L59">
        <v>748.97</v>
      </c>
    </row>
    <row r="60" spans="1:12" x14ac:dyDescent="0.25">
      <c r="A60">
        <v>10059</v>
      </c>
      <c r="B60" t="s">
        <v>988</v>
      </c>
      <c r="C60" t="s">
        <v>152</v>
      </c>
      <c r="D60" t="s">
        <v>153</v>
      </c>
      <c r="E60" t="s">
        <v>31</v>
      </c>
      <c r="F60" t="s">
        <v>14</v>
      </c>
      <c r="G60" t="s">
        <v>15</v>
      </c>
      <c r="H60" t="s">
        <v>27</v>
      </c>
      <c r="I60" t="s">
        <v>77</v>
      </c>
      <c r="J60">
        <v>6</v>
      </c>
      <c r="K60">
        <v>437.89</v>
      </c>
      <c r="L60">
        <v>91.52</v>
      </c>
    </row>
    <row r="61" spans="1:12" x14ac:dyDescent="0.25">
      <c r="A61">
        <v>10060</v>
      </c>
      <c r="B61" t="s">
        <v>988</v>
      </c>
      <c r="C61" t="s">
        <v>154</v>
      </c>
      <c r="D61" t="s">
        <v>120</v>
      </c>
      <c r="E61" t="s">
        <v>13</v>
      </c>
      <c r="F61" t="s">
        <v>14</v>
      </c>
      <c r="G61" t="s">
        <v>37</v>
      </c>
      <c r="H61" t="s">
        <v>27</v>
      </c>
      <c r="I61" t="s">
        <v>77</v>
      </c>
      <c r="J61">
        <v>3</v>
      </c>
      <c r="K61">
        <v>2233.89</v>
      </c>
      <c r="L61">
        <v>424.95</v>
      </c>
    </row>
    <row r="62" spans="1:12" x14ac:dyDescent="0.25">
      <c r="A62">
        <v>10061</v>
      </c>
      <c r="B62" t="s">
        <v>988</v>
      </c>
      <c r="C62" t="s">
        <v>155</v>
      </c>
      <c r="D62" t="s">
        <v>156</v>
      </c>
      <c r="E62" t="s">
        <v>31</v>
      </c>
      <c r="F62" t="s">
        <v>20</v>
      </c>
      <c r="G62" t="s">
        <v>76</v>
      </c>
      <c r="H62" t="s">
        <v>27</v>
      </c>
      <c r="I62" t="s">
        <v>28</v>
      </c>
      <c r="J62">
        <v>6</v>
      </c>
      <c r="K62">
        <v>4273.3900000000003</v>
      </c>
      <c r="L62">
        <v>1092.51</v>
      </c>
    </row>
    <row r="63" spans="1:12" x14ac:dyDescent="0.25">
      <c r="A63">
        <v>10062</v>
      </c>
      <c r="B63" t="s">
        <v>988</v>
      </c>
      <c r="C63" t="s">
        <v>157</v>
      </c>
      <c r="D63" t="s">
        <v>158</v>
      </c>
      <c r="E63" t="s">
        <v>13</v>
      </c>
      <c r="F63" t="s">
        <v>20</v>
      </c>
      <c r="G63" t="s">
        <v>76</v>
      </c>
      <c r="H63" t="s">
        <v>22</v>
      </c>
      <c r="I63" t="s">
        <v>34</v>
      </c>
      <c r="J63">
        <v>6</v>
      </c>
      <c r="K63">
        <v>991.02</v>
      </c>
      <c r="L63">
        <v>22.32</v>
      </c>
    </row>
    <row r="64" spans="1:12" x14ac:dyDescent="0.25">
      <c r="A64">
        <v>10063</v>
      </c>
      <c r="B64" t="s">
        <v>988</v>
      </c>
      <c r="C64" t="s">
        <v>159</v>
      </c>
      <c r="D64" t="s">
        <v>160</v>
      </c>
      <c r="E64" t="s">
        <v>31</v>
      </c>
      <c r="F64" t="s">
        <v>32</v>
      </c>
      <c r="G64" t="s">
        <v>33</v>
      </c>
      <c r="H64" t="s">
        <v>16</v>
      </c>
      <c r="I64" t="s">
        <v>43</v>
      </c>
      <c r="J64">
        <v>2</v>
      </c>
      <c r="K64">
        <v>1282.6400000000001</v>
      </c>
      <c r="L64">
        <v>138.94</v>
      </c>
    </row>
    <row r="65" spans="1:12" x14ac:dyDescent="0.25">
      <c r="A65">
        <v>10064</v>
      </c>
      <c r="B65" t="s">
        <v>988</v>
      </c>
      <c r="C65" t="s">
        <v>161</v>
      </c>
      <c r="D65" t="s">
        <v>162</v>
      </c>
      <c r="E65" t="s">
        <v>31</v>
      </c>
      <c r="F65" t="s">
        <v>20</v>
      </c>
      <c r="G65" t="s">
        <v>76</v>
      </c>
      <c r="H65" t="s">
        <v>22</v>
      </c>
      <c r="I65" t="s">
        <v>23</v>
      </c>
      <c r="J65">
        <v>5</v>
      </c>
      <c r="K65">
        <v>1185.82</v>
      </c>
      <c r="L65">
        <v>233.75</v>
      </c>
    </row>
    <row r="66" spans="1:12" x14ac:dyDescent="0.25">
      <c r="A66">
        <v>10065</v>
      </c>
      <c r="B66" t="s">
        <v>988</v>
      </c>
      <c r="C66" t="s">
        <v>163</v>
      </c>
      <c r="D66" t="s">
        <v>164</v>
      </c>
      <c r="E66" t="s">
        <v>26</v>
      </c>
      <c r="F66" t="s">
        <v>32</v>
      </c>
      <c r="G66" t="s">
        <v>54</v>
      </c>
      <c r="H66" t="s">
        <v>16</v>
      </c>
      <c r="I66" t="s">
        <v>17</v>
      </c>
      <c r="J66">
        <v>6</v>
      </c>
      <c r="K66">
        <v>3543.99</v>
      </c>
      <c r="L66">
        <v>392.09</v>
      </c>
    </row>
    <row r="67" spans="1:12" x14ac:dyDescent="0.25">
      <c r="A67">
        <v>10066</v>
      </c>
      <c r="B67" t="s">
        <v>988</v>
      </c>
      <c r="C67" t="s">
        <v>165</v>
      </c>
      <c r="D67" t="s">
        <v>166</v>
      </c>
      <c r="E67" t="s">
        <v>31</v>
      </c>
      <c r="F67" t="s">
        <v>32</v>
      </c>
      <c r="G67" t="s">
        <v>33</v>
      </c>
      <c r="H67" t="s">
        <v>16</v>
      </c>
      <c r="I67" t="s">
        <v>43</v>
      </c>
      <c r="J67">
        <v>4</v>
      </c>
      <c r="K67">
        <v>1160.28</v>
      </c>
      <c r="L67">
        <v>126.01</v>
      </c>
    </row>
    <row r="68" spans="1:12" x14ac:dyDescent="0.25">
      <c r="A68">
        <v>10067</v>
      </c>
      <c r="B68" t="s">
        <v>988</v>
      </c>
      <c r="C68" t="s">
        <v>167</v>
      </c>
      <c r="D68" t="s">
        <v>168</v>
      </c>
      <c r="E68" t="s">
        <v>26</v>
      </c>
      <c r="F68" t="s">
        <v>14</v>
      </c>
      <c r="G68" t="s">
        <v>15</v>
      </c>
      <c r="H68" t="s">
        <v>27</v>
      </c>
      <c r="I68" t="s">
        <v>104</v>
      </c>
      <c r="J68">
        <v>6</v>
      </c>
      <c r="K68">
        <v>979.26</v>
      </c>
      <c r="L68">
        <v>-0.99</v>
      </c>
    </row>
    <row r="69" spans="1:12" x14ac:dyDescent="0.25">
      <c r="A69">
        <v>10068</v>
      </c>
      <c r="B69" t="s">
        <v>988</v>
      </c>
      <c r="C69" t="s">
        <v>169</v>
      </c>
      <c r="D69" t="s">
        <v>170</v>
      </c>
      <c r="E69" t="s">
        <v>26</v>
      </c>
      <c r="F69" t="s">
        <v>32</v>
      </c>
      <c r="G69" t="s">
        <v>33</v>
      </c>
      <c r="H69" t="s">
        <v>16</v>
      </c>
      <c r="I69" t="s">
        <v>51</v>
      </c>
      <c r="J69">
        <v>2</v>
      </c>
      <c r="K69">
        <v>4376.33</v>
      </c>
      <c r="L69">
        <v>799.95</v>
      </c>
    </row>
    <row r="70" spans="1:12" x14ac:dyDescent="0.25">
      <c r="A70">
        <v>10069</v>
      </c>
      <c r="B70" t="s">
        <v>988</v>
      </c>
      <c r="C70" t="s">
        <v>171</v>
      </c>
      <c r="D70" t="s">
        <v>172</v>
      </c>
      <c r="E70" t="s">
        <v>26</v>
      </c>
      <c r="F70" t="s">
        <v>14</v>
      </c>
      <c r="G70" t="s">
        <v>37</v>
      </c>
      <c r="H70" t="s">
        <v>27</v>
      </c>
      <c r="I70" t="s">
        <v>118</v>
      </c>
      <c r="J70">
        <v>2</v>
      </c>
      <c r="K70">
        <v>2063.4699999999998</v>
      </c>
      <c r="L70">
        <v>78.45</v>
      </c>
    </row>
    <row r="71" spans="1:12" x14ac:dyDescent="0.25">
      <c r="A71">
        <v>10070</v>
      </c>
      <c r="B71" t="s">
        <v>988</v>
      </c>
      <c r="C71" t="s">
        <v>88</v>
      </c>
      <c r="D71" t="s">
        <v>173</v>
      </c>
      <c r="E71" t="s">
        <v>31</v>
      </c>
      <c r="F71" t="s">
        <v>32</v>
      </c>
      <c r="G71" t="s">
        <v>33</v>
      </c>
      <c r="H71" t="s">
        <v>22</v>
      </c>
      <c r="I71" t="s">
        <v>23</v>
      </c>
      <c r="J71">
        <v>7</v>
      </c>
      <c r="K71">
        <v>3070.96</v>
      </c>
      <c r="L71">
        <v>738.06</v>
      </c>
    </row>
    <row r="72" spans="1:12" x14ac:dyDescent="0.25">
      <c r="A72">
        <v>10071</v>
      </c>
      <c r="B72" t="s">
        <v>988</v>
      </c>
      <c r="C72" t="s">
        <v>174</v>
      </c>
      <c r="D72" t="s">
        <v>175</v>
      </c>
      <c r="E72" t="s">
        <v>26</v>
      </c>
      <c r="F72" t="s">
        <v>20</v>
      </c>
      <c r="G72" t="s">
        <v>76</v>
      </c>
      <c r="H72" t="s">
        <v>16</v>
      </c>
      <c r="I72" t="s">
        <v>51</v>
      </c>
      <c r="J72">
        <v>5</v>
      </c>
      <c r="K72">
        <v>2886.28</v>
      </c>
      <c r="L72">
        <v>91.76</v>
      </c>
    </row>
    <row r="73" spans="1:12" x14ac:dyDescent="0.25">
      <c r="A73">
        <v>10072</v>
      </c>
      <c r="B73" t="s">
        <v>988</v>
      </c>
      <c r="C73" t="s">
        <v>176</v>
      </c>
      <c r="D73" t="s">
        <v>177</v>
      </c>
      <c r="E73" t="s">
        <v>13</v>
      </c>
      <c r="F73" t="s">
        <v>46</v>
      </c>
      <c r="G73" t="s">
        <v>47</v>
      </c>
      <c r="H73" t="s">
        <v>16</v>
      </c>
      <c r="I73" t="s">
        <v>81</v>
      </c>
      <c r="J73">
        <v>3</v>
      </c>
      <c r="K73">
        <v>1275.3399999999999</v>
      </c>
      <c r="L73">
        <v>224.11</v>
      </c>
    </row>
    <row r="74" spans="1:12" x14ac:dyDescent="0.25">
      <c r="A74">
        <v>10073</v>
      </c>
      <c r="B74" t="s">
        <v>988</v>
      </c>
      <c r="C74" t="s">
        <v>96</v>
      </c>
      <c r="D74" t="s">
        <v>178</v>
      </c>
      <c r="E74" t="s">
        <v>31</v>
      </c>
      <c r="F74" t="s">
        <v>20</v>
      </c>
      <c r="G74" t="s">
        <v>76</v>
      </c>
      <c r="H74" t="s">
        <v>22</v>
      </c>
      <c r="I74" t="s">
        <v>48</v>
      </c>
      <c r="J74">
        <v>5</v>
      </c>
      <c r="K74">
        <v>3564.08</v>
      </c>
      <c r="L74">
        <v>759.18</v>
      </c>
    </row>
    <row r="75" spans="1:12" x14ac:dyDescent="0.25">
      <c r="A75">
        <v>10074</v>
      </c>
      <c r="B75" t="s">
        <v>988</v>
      </c>
      <c r="C75" t="s">
        <v>179</v>
      </c>
      <c r="D75" t="s">
        <v>180</v>
      </c>
      <c r="E75" t="s">
        <v>31</v>
      </c>
      <c r="F75" t="s">
        <v>46</v>
      </c>
      <c r="G75" t="s">
        <v>47</v>
      </c>
      <c r="H75" t="s">
        <v>22</v>
      </c>
      <c r="I75" t="s">
        <v>48</v>
      </c>
      <c r="J75">
        <v>3</v>
      </c>
      <c r="K75">
        <v>4551.22</v>
      </c>
      <c r="L75">
        <v>1160.97</v>
      </c>
    </row>
    <row r="76" spans="1:12" x14ac:dyDescent="0.25">
      <c r="A76">
        <v>10075</v>
      </c>
      <c r="B76" t="s">
        <v>988</v>
      </c>
      <c r="C76" t="s">
        <v>181</v>
      </c>
      <c r="D76" t="s">
        <v>182</v>
      </c>
      <c r="E76" t="s">
        <v>26</v>
      </c>
      <c r="F76" t="s">
        <v>32</v>
      </c>
      <c r="G76" t="s">
        <v>54</v>
      </c>
      <c r="H76" t="s">
        <v>22</v>
      </c>
      <c r="I76" t="s">
        <v>34</v>
      </c>
      <c r="J76">
        <v>5</v>
      </c>
      <c r="K76">
        <v>3528.7</v>
      </c>
      <c r="L76">
        <v>957.99</v>
      </c>
    </row>
    <row r="77" spans="1:12" x14ac:dyDescent="0.25">
      <c r="A77">
        <v>10076</v>
      </c>
      <c r="B77" t="s">
        <v>988</v>
      </c>
      <c r="C77" t="s">
        <v>183</v>
      </c>
      <c r="D77" t="s">
        <v>184</v>
      </c>
      <c r="E77" t="s">
        <v>26</v>
      </c>
      <c r="F77" t="s">
        <v>14</v>
      </c>
      <c r="G77" t="s">
        <v>37</v>
      </c>
      <c r="H77" t="s">
        <v>16</v>
      </c>
      <c r="I77" t="s">
        <v>17</v>
      </c>
      <c r="J77">
        <v>5</v>
      </c>
      <c r="K77">
        <v>226.74</v>
      </c>
      <c r="L77">
        <v>-43.12</v>
      </c>
    </row>
    <row r="78" spans="1:12" x14ac:dyDescent="0.25">
      <c r="A78">
        <v>10077</v>
      </c>
      <c r="B78" t="s">
        <v>988</v>
      </c>
      <c r="C78" t="s">
        <v>185</v>
      </c>
      <c r="D78" t="s">
        <v>186</v>
      </c>
      <c r="E78" t="s">
        <v>31</v>
      </c>
      <c r="F78" t="s">
        <v>32</v>
      </c>
      <c r="G78" t="s">
        <v>33</v>
      </c>
      <c r="H78" t="s">
        <v>22</v>
      </c>
      <c r="I78" t="s">
        <v>34</v>
      </c>
      <c r="J78">
        <v>8</v>
      </c>
      <c r="K78">
        <v>4588.76</v>
      </c>
      <c r="L78">
        <v>379.11</v>
      </c>
    </row>
    <row r="79" spans="1:12" x14ac:dyDescent="0.25">
      <c r="A79">
        <v>10078</v>
      </c>
      <c r="B79" t="s">
        <v>988</v>
      </c>
      <c r="C79" t="s">
        <v>187</v>
      </c>
      <c r="D79" t="s">
        <v>188</v>
      </c>
      <c r="E79" t="s">
        <v>31</v>
      </c>
      <c r="F79" t="s">
        <v>14</v>
      </c>
      <c r="G79" t="s">
        <v>37</v>
      </c>
      <c r="H79" t="s">
        <v>27</v>
      </c>
      <c r="I79" t="s">
        <v>77</v>
      </c>
      <c r="J79">
        <v>6</v>
      </c>
      <c r="K79">
        <v>1673.19</v>
      </c>
      <c r="L79">
        <v>111.33</v>
      </c>
    </row>
    <row r="80" spans="1:12" x14ac:dyDescent="0.25">
      <c r="A80">
        <v>10079</v>
      </c>
      <c r="B80" t="s">
        <v>988</v>
      </c>
      <c r="C80" t="s">
        <v>189</v>
      </c>
      <c r="D80" t="s">
        <v>190</v>
      </c>
      <c r="E80" t="s">
        <v>13</v>
      </c>
      <c r="F80" t="s">
        <v>32</v>
      </c>
      <c r="G80" t="s">
        <v>54</v>
      </c>
      <c r="H80" t="s">
        <v>16</v>
      </c>
      <c r="I80" t="s">
        <v>81</v>
      </c>
      <c r="J80">
        <v>8</v>
      </c>
      <c r="K80">
        <v>531.49</v>
      </c>
      <c r="L80">
        <v>48.52</v>
      </c>
    </row>
    <row r="81" spans="1:12" x14ac:dyDescent="0.25">
      <c r="A81">
        <v>10080</v>
      </c>
      <c r="B81" t="s">
        <v>988</v>
      </c>
      <c r="C81" t="s">
        <v>191</v>
      </c>
      <c r="D81" t="s">
        <v>192</v>
      </c>
      <c r="E81" t="s">
        <v>26</v>
      </c>
      <c r="F81" t="s">
        <v>14</v>
      </c>
      <c r="G81" t="s">
        <v>37</v>
      </c>
      <c r="H81" t="s">
        <v>27</v>
      </c>
      <c r="I81" t="s">
        <v>118</v>
      </c>
      <c r="J81">
        <v>4</v>
      </c>
      <c r="K81">
        <v>2640.35</v>
      </c>
      <c r="L81">
        <v>493.16</v>
      </c>
    </row>
    <row r="82" spans="1:12" x14ac:dyDescent="0.25">
      <c r="A82">
        <v>10081</v>
      </c>
      <c r="B82" t="s">
        <v>988</v>
      </c>
      <c r="C82" t="s">
        <v>193</v>
      </c>
      <c r="D82" t="s">
        <v>194</v>
      </c>
      <c r="E82" t="s">
        <v>26</v>
      </c>
      <c r="F82" t="s">
        <v>46</v>
      </c>
      <c r="G82" t="s">
        <v>47</v>
      </c>
      <c r="H82" t="s">
        <v>16</v>
      </c>
      <c r="I82" t="s">
        <v>43</v>
      </c>
      <c r="J82">
        <v>5</v>
      </c>
      <c r="K82">
        <v>2246.77</v>
      </c>
      <c r="L82">
        <v>492.4</v>
      </c>
    </row>
    <row r="83" spans="1:12" x14ac:dyDescent="0.25">
      <c r="A83">
        <v>10082</v>
      </c>
      <c r="B83" t="s">
        <v>988</v>
      </c>
      <c r="C83" t="s">
        <v>195</v>
      </c>
      <c r="D83" t="s">
        <v>196</v>
      </c>
      <c r="E83" t="s">
        <v>13</v>
      </c>
      <c r="F83" t="s">
        <v>46</v>
      </c>
      <c r="G83" t="s">
        <v>47</v>
      </c>
      <c r="H83" t="s">
        <v>16</v>
      </c>
      <c r="I83" t="s">
        <v>81</v>
      </c>
      <c r="J83">
        <v>7</v>
      </c>
      <c r="K83">
        <v>556.73</v>
      </c>
      <c r="L83">
        <v>74.650000000000006</v>
      </c>
    </row>
    <row r="84" spans="1:12" x14ac:dyDescent="0.25">
      <c r="A84">
        <v>10083</v>
      </c>
      <c r="B84" t="s">
        <v>988</v>
      </c>
      <c r="C84" t="s">
        <v>197</v>
      </c>
      <c r="D84" t="s">
        <v>198</v>
      </c>
      <c r="E84" t="s">
        <v>26</v>
      </c>
      <c r="F84" t="s">
        <v>46</v>
      </c>
      <c r="G84" t="s">
        <v>47</v>
      </c>
      <c r="H84" t="s">
        <v>16</v>
      </c>
      <c r="I84" t="s">
        <v>17</v>
      </c>
      <c r="J84">
        <v>5</v>
      </c>
      <c r="K84">
        <v>2135.9</v>
      </c>
      <c r="L84">
        <v>317.22000000000003</v>
      </c>
    </row>
    <row r="85" spans="1:12" x14ac:dyDescent="0.25">
      <c r="A85">
        <v>10084</v>
      </c>
      <c r="B85" t="s">
        <v>988</v>
      </c>
      <c r="C85" t="s">
        <v>199</v>
      </c>
      <c r="D85" t="s">
        <v>200</v>
      </c>
      <c r="E85" t="s">
        <v>26</v>
      </c>
      <c r="F85" t="s">
        <v>20</v>
      </c>
      <c r="G85" t="s">
        <v>21</v>
      </c>
      <c r="H85" t="s">
        <v>16</v>
      </c>
      <c r="I85" t="s">
        <v>43</v>
      </c>
      <c r="J85">
        <v>2</v>
      </c>
      <c r="K85">
        <v>1453.61</v>
      </c>
      <c r="L85">
        <v>318.27999999999997</v>
      </c>
    </row>
    <row r="86" spans="1:12" x14ac:dyDescent="0.25">
      <c r="A86">
        <v>10085</v>
      </c>
      <c r="B86" t="s">
        <v>988</v>
      </c>
      <c r="C86" t="s">
        <v>201</v>
      </c>
      <c r="D86" t="s">
        <v>202</v>
      </c>
      <c r="E86" t="s">
        <v>31</v>
      </c>
      <c r="F86" t="s">
        <v>32</v>
      </c>
      <c r="G86" t="s">
        <v>54</v>
      </c>
      <c r="H86" t="s">
        <v>16</v>
      </c>
      <c r="I86" t="s">
        <v>51</v>
      </c>
      <c r="J86">
        <v>3</v>
      </c>
      <c r="K86">
        <v>2288.08</v>
      </c>
      <c r="L86">
        <v>358.21</v>
      </c>
    </row>
    <row r="87" spans="1:12" x14ac:dyDescent="0.25">
      <c r="A87">
        <v>10086</v>
      </c>
      <c r="B87" t="s">
        <v>988</v>
      </c>
      <c r="C87" t="s">
        <v>203</v>
      </c>
      <c r="D87" t="s">
        <v>204</v>
      </c>
      <c r="E87" t="s">
        <v>31</v>
      </c>
      <c r="F87" t="s">
        <v>32</v>
      </c>
      <c r="G87" t="s">
        <v>33</v>
      </c>
      <c r="H87" t="s">
        <v>16</v>
      </c>
      <c r="I87" t="s">
        <v>43</v>
      </c>
      <c r="J87">
        <v>7</v>
      </c>
      <c r="K87">
        <v>1244.46</v>
      </c>
      <c r="L87">
        <v>299.14</v>
      </c>
    </row>
    <row r="88" spans="1:12" x14ac:dyDescent="0.25">
      <c r="A88">
        <v>10087</v>
      </c>
      <c r="B88" t="s">
        <v>988</v>
      </c>
      <c r="C88" t="s">
        <v>169</v>
      </c>
      <c r="D88" t="s">
        <v>205</v>
      </c>
      <c r="E88" t="s">
        <v>13</v>
      </c>
      <c r="F88" t="s">
        <v>20</v>
      </c>
      <c r="G88" t="s">
        <v>21</v>
      </c>
      <c r="H88" t="s">
        <v>27</v>
      </c>
      <c r="I88" t="s">
        <v>118</v>
      </c>
      <c r="J88">
        <v>3</v>
      </c>
      <c r="K88">
        <v>2561.23</v>
      </c>
      <c r="L88">
        <v>418.99</v>
      </c>
    </row>
    <row r="89" spans="1:12" x14ac:dyDescent="0.25">
      <c r="A89">
        <v>10088</v>
      </c>
      <c r="B89" t="s">
        <v>988</v>
      </c>
      <c r="C89" t="s">
        <v>206</v>
      </c>
      <c r="D89" t="s">
        <v>207</v>
      </c>
      <c r="E89" t="s">
        <v>13</v>
      </c>
      <c r="F89" t="s">
        <v>20</v>
      </c>
      <c r="G89" t="s">
        <v>21</v>
      </c>
      <c r="H89" t="s">
        <v>16</v>
      </c>
      <c r="I89" t="s">
        <v>43</v>
      </c>
      <c r="J89">
        <v>7</v>
      </c>
      <c r="K89">
        <v>4367.57</v>
      </c>
      <c r="L89">
        <v>1269.98</v>
      </c>
    </row>
    <row r="90" spans="1:12" x14ac:dyDescent="0.25">
      <c r="A90">
        <v>10089</v>
      </c>
      <c r="B90" t="s">
        <v>988</v>
      </c>
      <c r="C90" t="s">
        <v>84</v>
      </c>
      <c r="D90" t="s">
        <v>208</v>
      </c>
      <c r="E90" t="s">
        <v>13</v>
      </c>
      <c r="F90" t="s">
        <v>20</v>
      </c>
      <c r="G90" t="s">
        <v>21</v>
      </c>
      <c r="H90" t="s">
        <v>27</v>
      </c>
      <c r="I90" t="s">
        <v>77</v>
      </c>
      <c r="J90">
        <v>6</v>
      </c>
      <c r="K90">
        <v>3171.32</v>
      </c>
      <c r="L90">
        <v>813.36</v>
      </c>
    </row>
    <row r="91" spans="1:12" x14ac:dyDescent="0.25">
      <c r="A91">
        <v>10090</v>
      </c>
      <c r="B91" t="s">
        <v>988</v>
      </c>
      <c r="C91" t="s">
        <v>209</v>
      </c>
      <c r="D91" t="s">
        <v>210</v>
      </c>
      <c r="E91" t="s">
        <v>26</v>
      </c>
      <c r="F91" t="s">
        <v>14</v>
      </c>
      <c r="G91" t="s">
        <v>15</v>
      </c>
      <c r="H91" t="s">
        <v>16</v>
      </c>
      <c r="I91" t="s">
        <v>17</v>
      </c>
      <c r="J91">
        <v>4</v>
      </c>
      <c r="K91">
        <v>3759.16</v>
      </c>
      <c r="L91">
        <v>585.96</v>
      </c>
    </row>
    <row r="92" spans="1:12" x14ac:dyDescent="0.25">
      <c r="A92">
        <v>10091</v>
      </c>
      <c r="B92" t="s">
        <v>988</v>
      </c>
      <c r="C92" t="s">
        <v>211</v>
      </c>
      <c r="D92" t="s">
        <v>212</v>
      </c>
      <c r="E92" t="s">
        <v>26</v>
      </c>
      <c r="F92" t="s">
        <v>20</v>
      </c>
      <c r="G92" t="s">
        <v>21</v>
      </c>
      <c r="H92" t="s">
        <v>16</v>
      </c>
      <c r="I92" t="s">
        <v>17</v>
      </c>
      <c r="J92">
        <v>1</v>
      </c>
      <c r="K92">
        <v>325.36</v>
      </c>
      <c r="L92">
        <v>51.69</v>
      </c>
    </row>
    <row r="93" spans="1:12" x14ac:dyDescent="0.25">
      <c r="A93">
        <v>10092</v>
      </c>
      <c r="B93" t="s">
        <v>988</v>
      </c>
      <c r="C93" t="s">
        <v>213</v>
      </c>
      <c r="D93" t="s">
        <v>62</v>
      </c>
      <c r="E93" t="s">
        <v>31</v>
      </c>
      <c r="F93" t="s">
        <v>46</v>
      </c>
      <c r="G93" t="s">
        <v>47</v>
      </c>
      <c r="H93" t="s">
        <v>16</v>
      </c>
      <c r="I93" t="s">
        <v>43</v>
      </c>
      <c r="J93">
        <v>3</v>
      </c>
      <c r="K93">
        <v>957.84</v>
      </c>
      <c r="L93">
        <v>155.59</v>
      </c>
    </row>
    <row r="94" spans="1:12" x14ac:dyDescent="0.25">
      <c r="A94">
        <v>10093</v>
      </c>
      <c r="B94" t="s">
        <v>988</v>
      </c>
      <c r="C94" t="s">
        <v>214</v>
      </c>
      <c r="D94" t="s">
        <v>215</v>
      </c>
      <c r="E94" t="s">
        <v>13</v>
      </c>
      <c r="F94" t="s">
        <v>46</v>
      </c>
      <c r="G94" t="s">
        <v>71</v>
      </c>
      <c r="H94" t="s">
        <v>27</v>
      </c>
      <c r="I94" t="s">
        <v>28</v>
      </c>
      <c r="J94">
        <v>8</v>
      </c>
      <c r="K94">
        <v>1351.1</v>
      </c>
      <c r="L94">
        <v>-9.73</v>
      </c>
    </row>
    <row r="95" spans="1:12" x14ac:dyDescent="0.25">
      <c r="A95">
        <v>10094</v>
      </c>
      <c r="B95" t="s">
        <v>988</v>
      </c>
      <c r="C95" t="s">
        <v>216</v>
      </c>
      <c r="D95" t="s">
        <v>217</v>
      </c>
      <c r="E95" t="s">
        <v>31</v>
      </c>
      <c r="F95" t="s">
        <v>46</v>
      </c>
      <c r="G95" t="s">
        <v>71</v>
      </c>
      <c r="H95" t="s">
        <v>27</v>
      </c>
      <c r="I95" t="s">
        <v>28</v>
      </c>
      <c r="J95">
        <v>5</v>
      </c>
      <c r="K95">
        <v>3230.8</v>
      </c>
      <c r="L95">
        <v>479.24</v>
      </c>
    </row>
    <row r="96" spans="1:12" x14ac:dyDescent="0.25">
      <c r="A96">
        <v>10095</v>
      </c>
      <c r="B96" t="s">
        <v>988</v>
      </c>
      <c r="C96" t="s">
        <v>63</v>
      </c>
      <c r="D96" t="s">
        <v>218</v>
      </c>
      <c r="E96" t="s">
        <v>31</v>
      </c>
      <c r="F96" t="s">
        <v>20</v>
      </c>
      <c r="G96" t="s">
        <v>21</v>
      </c>
      <c r="H96" t="s">
        <v>22</v>
      </c>
      <c r="I96" t="s">
        <v>34</v>
      </c>
      <c r="J96">
        <v>6</v>
      </c>
      <c r="K96">
        <v>2916.58</v>
      </c>
      <c r="L96">
        <v>840.12</v>
      </c>
    </row>
    <row r="97" spans="1:12" x14ac:dyDescent="0.25">
      <c r="A97">
        <v>10096</v>
      </c>
      <c r="B97" t="s">
        <v>988</v>
      </c>
      <c r="C97" t="s">
        <v>219</v>
      </c>
      <c r="D97" t="s">
        <v>220</v>
      </c>
      <c r="E97" t="s">
        <v>26</v>
      </c>
      <c r="F97" t="s">
        <v>14</v>
      </c>
      <c r="G97" t="s">
        <v>15</v>
      </c>
      <c r="H97" t="s">
        <v>16</v>
      </c>
      <c r="I97" t="s">
        <v>51</v>
      </c>
      <c r="J97">
        <v>5</v>
      </c>
      <c r="K97">
        <v>3901.13</v>
      </c>
      <c r="L97">
        <v>339.29</v>
      </c>
    </row>
    <row r="98" spans="1:12" x14ac:dyDescent="0.25">
      <c r="A98">
        <v>10097</v>
      </c>
      <c r="B98" t="s">
        <v>988</v>
      </c>
      <c r="C98" t="s">
        <v>221</v>
      </c>
      <c r="D98" t="s">
        <v>222</v>
      </c>
      <c r="E98" t="s">
        <v>31</v>
      </c>
      <c r="F98" t="s">
        <v>32</v>
      </c>
      <c r="G98" t="s">
        <v>33</v>
      </c>
      <c r="H98" t="s">
        <v>16</v>
      </c>
      <c r="I98" t="s">
        <v>81</v>
      </c>
      <c r="J98">
        <v>1</v>
      </c>
      <c r="K98">
        <v>1613.77</v>
      </c>
      <c r="L98">
        <v>200.58</v>
      </c>
    </row>
    <row r="99" spans="1:12" x14ac:dyDescent="0.25">
      <c r="A99">
        <v>10098</v>
      </c>
      <c r="B99" t="s">
        <v>988</v>
      </c>
      <c r="C99" t="s">
        <v>223</v>
      </c>
      <c r="D99" t="s">
        <v>224</v>
      </c>
      <c r="E99" t="s">
        <v>26</v>
      </c>
      <c r="F99" t="s">
        <v>32</v>
      </c>
      <c r="G99" t="s">
        <v>54</v>
      </c>
      <c r="H99" t="s">
        <v>22</v>
      </c>
      <c r="I99" t="s">
        <v>48</v>
      </c>
      <c r="J99">
        <v>3</v>
      </c>
      <c r="K99">
        <v>3953.91</v>
      </c>
      <c r="L99">
        <v>1027.47</v>
      </c>
    </row>
    <row r="100" spans="1:12" x14ac:dyDescent="0.25">
      <c r="A100">
        <v>10099</v>
      </c>
      <c r="B100" t="s">
        <v>988</v>
      </c>
      <c r="C100" t="s">
        <v>225</v>
      </c>
      <c r="D100" t="s">
        <v>226</v>
      </c>
      <c r="E100" t="s">
        <v>13</v>
      </c>
      <c r="F100" t="s">
        <v>32</v>
      </c>
      <c r="G100" t="s">
        <v>54</v>
      </c>
      <c r="H100" t="s">
        <v>27</v>
      </c>
      <c r="I100" t="s">
        <v>28</v>
      </c>
      <c r="J100">
        <v>2</v>
      </c>
      <c r="K100">
        <v>2394.8200000000002</v>
      </c>
      <c r="L100">
        <v>89.41</v>
      </c>
    </row>
    <row r="101" spans="1:12" x14ac:dyDescent="0.25">
      <c r="A101">
        <v>10100</v>
      </c>
      <c r="B101" t="s">
        <v>988</v>
      </c>
      <c r="C101" t="s">
        <v>227</v>
      </c>
      <c r="D101" t="s">
        <v>228</v>
      </c>
      <c r="E101" t="s">
        <v>13</v>
      </c>
      <c r="F101" t="s">
        <v>20</v>
      </c>
      <c r="G101" t="s">
        <v>76</v>
      </c>
      <c r="H101" t="s">
        <v>22</v>
      </c>
      <c r="I101" t="s">
        <v>34</v>
      </c>
      <c r="J101">
        <v>1</v>
      </c>
      <c r="K101">
        <v>1395.85</v>
      </c>
      <c r="L101">
        <v>76.06</v>
      </c>
    </row>
    <row r="102" spans="1:12" x14ac:dyDescent="0.25">
      <c r="A102">
        <v>10101</v>
      </c>
      <c r="B102" t="s">
        <v>988</v>
      </c>
      <c r="C102" t="s">
        <v>229</v>
      </c>
      <c r="D102" t="s">
        <v>230</v>
      </c>
      <c r="E102" t="s">
        <v>13</v>
      </c>
      <c r="F102" t="s">
        <v>20</v>
      </c>
      <c r="G102" t="s">
        <v>76</v>
      </c>
      <c r="H102" t="s">
        <v>22</v>
      </c>
      <c r="I102" t="s">
        <v>48</v>
      </c>
      <c r="J102">
        <v>8</v>
      </c>
      <c r="K102">
        <v>222.62</v>
      </c>
      <c r="L102">
        <v>4.2</v>
      </c>
    </row>
    <row r="103" spans="1:12" x14ac:dyDescent="0.25">
      <c r="A103">
        <v>10102</v>
      </c>
      <c r="B103" t="s">
        <v>988</v>
      </c>
      <c r="C103" t="s">
        <v>181</v>
      </c>
      <c r="D103" t="s">
        <v>231</v>
      </c>
      <c r="E103" t="s">
        <v>26</v>
      </c>
      <c r="F103" t="s">
        <v>14</v>
      </c>
      <c r="G103" t="s">
        <v>37</v>
      </c>
      <c r="H103" t="s">
        <v>16</v>
      </c>
      <c r="I103" t="s">
        <v>17</v>
      </c>
      <c r="J103">
        <v>7</v>
      </c>
      <c r="K103">
        <v>671.71</v>
      </c>
      <c r="L103">
        <v>37.479999999999997</v>
      </c>
    </row>
    <row r="104" spans="1:12" x14ac:dyDescent="0.25">
      <c r="A104">
        <v>10103</v>
      </c>
      <c r="B104" t="s">
        <v>988</v>
      </c>
      <c r="C104" t="s">
        <v>138</v>
      </c>
      <c r="D104" t="s">
        <v>184</v>
      </c>
      <c r="E104" t="s">
        <v>13</v>
      </c>
      <c r="F104" t="s">
        <v>46</v>
      </c>
      <c r="G104" t="s">
        <v>71</v>
      </c>
      <c r="H104" t="s">
        <v>27</v>
      </c>
      <c r="I104" t="s">
        <v>77</v>
      </c>
      <c r="J104">
        <v>6</v>
      </c>
      <c r="K104">
        <v>3385.38</v>
      </c>
      <c r="L104">
        <v>703.62</v>
      </c>
    </row>
    <row r="105" spans="1:12" x14ac:dyDescent="0.25">
      <c r="A105">
        <v>10104</v>
      </c>
      <c r="B105" t="s">
        <v>988</v>
      </c>
      <c r="C105" t="s">
        <v>232</v>
      </c>
      <c r="D105" t="s">
        <v>233</v>
      </c>
      <c r="E105" t="s">
        <v>26</v>
      </c>
      <c r="F105" t="s">
        <v>46</v>
      </c>
      <c r="G105" t="s">
        <v>47</v>
      </c>
      <c r="H105" t="s">
        <v>16</v>
      </c>
      <c r="I105" t="s">
        <v>81</v>
      </c>
      <c r="J105">
        <v>8</v>
      </c>
      <c r="K105">
        <v>3116.7</v>
      </c>
      <c r="L105">
        <v>859.55</v>
      </c>
    </row>
    <row r="106" spans="1:12" x14ac:dyDescent="0.25">
      <c r="A106">
        <v>10105</v>
      </c>
      <c r="B106" t="s">
        <v>988</v>
      </c>
      <c r="C106" t="s">
        <v>74</v>
      </c>
      <c r="D106" t="s">
        <v>234</v>
      </c>
      <c r="E106" t="s">
        <v>26</v>
      </c>
      <c r="F106" t="s">
        <v>20</v>
      </c>
      <c r="G106" t="s">
        <v>76</v>
      </c>
      <c r="H106" t="s">
        <v>22</v>
      </c>
      <c r="I106" t="s">
        <v>38</v>
      </c>
      <c r="J106">
        <v>2</v>
      </c>
      <c r="K106">
        <v>4906.55</v>
      </c>
      <c r="L106">
        <v>605.74</v>
      </c>
    </row>
    <row r="107" spans="1:12" x14ac:dyDescent="0.25">
      <c r="A107">
        <v>10106</v>
      </c>
      <c r="B107" t="s">
        <v>988</v>
      </c>
      <c r="C107" t="s">
        <v>136</v>
      </c>
      <c r="D107" t="s">
        <v>235</v>
      </c>
      <c r="E107" t="s">
        <v>31</v>
      </c>
      <c r="F107" t="s">
        <v>20</v>
      </c>
      <c r="G107" t="s">
        <v>76</v>
      </c>
      <c r="H107" t="s">
        <v>22</v>
      </c>
      <c r="I107" t="s">
        <v>23</v>
      </c>
      <c r="J107">
        <v>8</v>
      </c>
      <c r="K107">
        <v>549.20000000000005</v>
      </c>
      <c r="L107">
        <v>-7.37</v>
      </c>
    </row>
    <row r="108" spans="1:12" x14ac:dyDescent="0.25">
      <c r="A108">
        <v>10107</v>
      </c>
      <c r="B108" t="s">
        <v>988</v>
      </c>
      <c r="C108" t="s">
        <v>236</v>
      </c>
      <c r="D108" t="s">
        <v>237</v>
      </c>
      <c r="E108" t="s">
        <v>26</v>
      </c>
      <c r="F108" t="s">
        <v>46</v>
      </c>
      <c r="G108" t="s">
        <v>71</v>
      </c>
      <c r="H108" t="s">
        <v>16</v>
      </c>
      <c r="I108" t="s">
        <v>43</v>
      </c>
      <c r="J108">
        <v>2</v>
      </c>
      <c r="K108">
        <v>4166.1099999999997</v>
      </c>
      <c r="L108">
        <v>726.89</v>
      </c>
    </row>
    <row r="109" spans="1:12" x14ac:dyDescent="0.25">
      <c r="A109">
        <v>10108</v>
      </c>
      <c r="B109" t="s">
        <v>988</v>
      </c>
      <c r="C109" t="s">
        <v>221</v>
      </c>
      <c r="D109" t="s">
        <v>238</v>
      </c>
      <c r="E109" t="s">
        <v>31</v>
      </c>
      <c r="F109" t="s">
        <v>14</v>
      </c>
      <c r="G109" t="s">
        <v>37</v>
      </c>
      <c r="H109" t="s">
        <v>22</v>
      </c>
      <c r="I109" t="s">
        <v>48</v>
      </c>
      <c r="J109">
        <v>5</v>
      </c>
      <c r="K109">
        <v>4012.72</v>
      </c>
      <c r="L109">
        <v>224.27</v>
      </c>
    </row>
    <row r="110" spans="1:12" x14ac:dyDescent="0.25">
      <c r="A110">
        <v>10109</v>
      </c>
      <c r="B110" t="s">
        <v>988</v>
      </c>
      <c r="C110" t="s">
        <v>239</v>
      </c>
      <c r="D110" t="s">
        <v>240</v>
      </c>
      <c r="E110" t="s">
        <v>31</v>
      </c>
      <c r="F110" t="s">
        <v>46</v>
      </c>
      <c r="G110" t="s">
        <v>47</v>
      </c>
      <c r="H110" t="s">
        <v>22</v>
      </c>
      <c r="I110" t="s">
        <v>48</v>
      </c>
      <c r="J110">
        <v>5</v>
      </c>
      <c r="K110">
        <v>356.76</v>
      </c>
      <c r="L110">
        <v>31.38</v>
      </c>
    </row>
    <row r="111" spans="1:12" x14ac:dyDescent="0.25">
      <c r="A111">
        <v>10110</v>
      </c>
      <c r="B111" t="s">
        <v>988</v>
      </c>
      <c r="C111" t="s">
        <v>216</v>
      </c>
      <c r="D111" t="s">
        <v>241</v>
      </c>
      <c r="E111" t="s">
        <v>13</v>
      </c>
      <c r="F111" t="s">
        <v>32</v>
      </c>
      <c r="G111" t="s">
        <v>33</v>
      </c>
      <c r="H111" t="s">
        <v>27</v>
      </c>
      <c r="I111" t="s">
        <v>104</v>
      </c>
      <c r="J111">
        <v>1</v>
      </c>
      <c r="K111">
        <v>3663.49</v>
      </c>
      <c r="L111">
        <v>949.58</v>
      </c>
    </row>
    <row r="112" spans="1:12" x14ac:dyDescent="0.25">
      <c r="A112">
        <v>10111</v>
      </c>
      <c r="B112" t="s">
        <v>988</v>
      </c>
      <c r="C112" t="s">
        <v>90</v>
      </c>
      <c r="D112" t="s">
        <v>242</v>
      </c>
      <c r="E112" t="s">
        <v>31</v>
      </c>
      <c r="F112" t="s">
        <v>14</v>
      </c>
      <c r="G112" t="s">
        <v>15</v>
      </c>
      <c r="H112" t="s">
        <v>27</v>
      </c>
      <c r="I112" t="s">
        <v>77</v>
      </c>
      <c r="J112">
        <v>7</v>
      </c>
      <c r="K112">
        <v>3461.88</v>
      </c>
      <c r="L112">
        <v>506.44</v>
      </c>
    </row>
    <row r="113" spans="1:12" x14ac:dyDescent="0.25">
      <c r="A113">
        <v>10112</v>
      </c>
      <c r="B113" t="s">
        <v>988</v>
      </c>
      <c r="C113" t="s">
        <v>243</v>
      </c>
      <c r="D113" t="s">
        <v>244</v>
      </c>
      <c r="E113" t="s">
        <v>31</v>
      </c>
      <c r="F113" t="s">
        <v>46</v>
      </c>
      <c r="G113" t="s">
        <v>71</v>
      </c>
      <c r="H113" t="s">
        <v>22</v>
      </c>
      <c r="I113" t="s">
        <v>38</v>
      </c>
      <c r="J113">
        <v>6</v>
      </c>
      <c r="K113">
        <v>1966.43</v>
      </c>
      <c r="L113">
        <v>362.51</v>
      </c>
    </row>
    <row r="114" spans="1:12" x14ac:dyDescent="0.25">
      <c r="A114">
        <v>10113</v>
      </c>
      <c r="B114" t="s">
        <v>988</v>
      </c>
      <c r="C114" t="s">
        <v>245</v>
      </c>
      <c r="D114" t="s">
        <v>66</v>
      </c>
      <c r="E114" t="s">
        <v>31</v>
      </c>
      <c r="F114" t="s">
        <v>14</v>
      </c>
      <c r="G114" t="s">
        <v>15</v>
      </c>
      <c r="H114" t="s">
        <v>16</v>
      </c>
      <c r="I114" t="s">
        <v>43</v>
      </c>
      <c r="J114">
        <v>7</v>
      </c>
      <c r="K114">
        <v>2312.62</v>
      </c>
      <c r="L114">
        <v>213.84</v>
      </c>
    </row>
    <row r="115" spans="1:12" x14ac:dyDescent="0.25">
      <c r="A115">
        <v>10114</v>
      </c>
      <c r="B115" t="s">
        <v>988</v>
      </c>
      <c r="C115" t="s">
        <v>246</v>
      </c>
      <c r="D115" t="s">
        <v>247</v>
      </c>
      <c r="E115" t="s">
        <v>26</v>
      </c>
      <c r="F115" t="s">
        <v>14</v>
      </c>
      <c r="G115" t="s">
        <v>37</v>
      </c>
      <c r="H115" t="s">
        <v>27</v>
      </c>
      <c r="I115" t="s">
        <v>28</v>
      </c>
      <c r="J115">
        <v>5</v>
      </c>
      <c r="K115">
        <v>1934.08</v>
      </c>
      <c r="L115">
        <v>78.209999999999994</v>
      </c>
    </row>
    <row r="116" spans="1:12" x14ac:dyDescent="0.25">
      <c r="A116">
        <v>10115</v>
      </c>
      <c r="B116" t="s">
        <v>988</v>
      </c>
      <c r="C116" t="s">
        <v>248</v>
      </c>
      <c r="D116" t="s">
        <v>249</v>
      </c>
      <c r="E116" t="s">
        <v>26</v>
      </c>
      <c r="F116" t="s">
        <v>14</v>
      </c>
      <c r="G116" t="s">
        <v>37</v>
      </c>
      <c r="H116" t="s">
        <v>22</v>
      </c>
      <c r="I116" t="s">
        <v>38</v>
      </c>
      <c r="J116">
        <v>3</v>
      </c>
      <c r="K116">
        <v>2826.22</v>
      </c>
      <c r="L116">
        <v>499.52</v>
      </c>
    </row>
    <row r="117" spans="1:12" x14ac:dyDescent="0.25">
      <c r="A117">
        <v>10116</v>
      </c>
      <c r="B117" t="s">
        <v>988</v>
      </c>
      <c r="C117" t="s">
        <v>250</v>
      </c>
      <c r="D117" t="s">
        <v>117</v>
      </c>
      <c r="E117" t="s">
        <v>26</v>
      </c>
      <c r="F117" t="s">
        <v>20</v>
      </c>
      <c r="G117" t="s">
        <v>76</v>
      </c>
      <c r="H117" t="s">
        <v>16</v>
      </c>
      <c r="I117" t="s">
        <v>51</v>
      </c>
      <c r="J117">
        <v>1</v>
      </c>
      <c r="K117">
        <v>4845.1499999999996</v>
      </c>
      <c r="L117">
        <v>934.36</v>
      </c>
    </row>
    <row r="118" spans="1:12" x14ac:dyDescent="0.25">
      <c r="A118">
        <v>10117</v>
      </c>
      <c r="B118" t="s">
        <v>988</v>
      </c>
      <c r="C118" t="s">
        <v>251</v>
      </c>
      <c r="D118" t="s">
        <v>252</v>
      </c>
      <c r="E118" t="s">
        <v>31</v>
      </c>
      <c r="F118" t="s">
        <v>46</v>
      </c>
      <c r="G118" t="s">
        <v>47</v>
      </c>
      <c r="H118" t="s">
        <v>22</v>
      </c>
      <c r="I118" t="s">
        <v>23</v>
      </c>
      <c r="J118">
        <v>6</v>
      </c>
      <c r="K118">
        <v>4242.33</v>
      </c>
      <c r="L118">
        <v>525.67999999999995</v>
      </c>
    </row>
    <row r="119" spans="1:12" x14ac:dyDescent="0.25">
      <c r="A119">
        <v>10118</v>
      </c>
      <c r="B119" t="s">
        <v>988</v>
      </c>
      <c r="C119" t="s">
        <v>253</v>
      </c>
      <c r="D119" t="s">
        <v>254</v>
      </c>
      <c r="E119" t="s">
        <v>26</v>
      </c>
      <c r="F119" t="s">
        <v>14</v>
      </c>
      <c r="G119" t="s">
        <v>37</v>
      </c>
      <c r="H119" t="s">
        <v>22</v>
      </c>
      <c r="I119" t="s">
        <v>48</v>
      </c>
      <c r="J119">
        <v>5</v>
      </c>
      <c r="K119">
        <v>3543.22</v>
      </c>
      <c r="L119">
        <v>416.88</v>
      </c>
    </row>
    <row r="120" spans="1:12" x14ac:dyDescent="0.25">
      <c r="A120">
        <v>10119</v>
      </c>
      <c r="B120" t="s">
        <v>988</v>
      </c>
      <c r="C120" t="s">
        <v>157</v>
      </c>
      <c r="D120" t="s">
        <v>255</v>
      </c>
      <c r="E120" t="s">
        <v>31</v>
      </c>
      <c r="F120" t="s">
        <v>20</v>
      </c>
      <c r="G120" t="s">
        <v>21</v>
      </c>
      <c r="H120" t="s">
        <v>22</v>
      </c>
      <c r="I120" t="s">
        <v>23</v>
      </c>
      <c r="J120">
        <v>2</v>
      </c>
      <c r="K120">
        <v>3755.95</v>
      </c>
      <c r="L120">
        <v>347.82</v>
      </c>
    </row>
    <row r="121" spans="1:12" x14ac:dyDescent="0.25">
      <c r="A121">
        <v>10120</v>
      </c>
      <c r="B121" t="s">
        <v>988</v>
      </c>
      <c r="C121" t="s">
        <v>256</v>
      </c>
      <c r="D121" t="s">
        <v>257</v>
      </c>
      <c r="E121" t="s">
        <v>31</v>
      </c>
      <c r="F121" t="s">
        <v>32</v>
      </c>
      <c r="G121" t="s">
        <v>54</v>
      </c>
      <c r="H121" t="s">
        <v>16</v>
      </c>
      <c r="I121" t="s">
        <v>81</v>
      </c>
      <c r="J121">
        <v>1</v>
      </c>
      <c r="K121">
        <v>862.34</v>
      </c>
      <c r="L121">
        <v>200.79</v>
      </c>
    </row>
    <row r="122" spans="1:12" x14ac:dyDescent="0.25">
      <c r="A122">
        <v>10121</v>
      </c>
      <c r="B122" t="s">
        <v>988</v>
      </c>
      <c r="C122" t="s">
        <v>258</v>
      </c>
      <c r="D122" t="s">
        <v>259</v>
      </c>
      <c r="E122" t="s">
        <v>31</v>
      </c>
      <c r="F122" t="s">
        <v>20</v>
      </c>
      <c r="G122" t="s">
        <v>76</v>
      </c>
      <c r="H122" t="s">
        <v>16</v>
      </c>
      <c r="I122" t="s">
        <v>51</v>
      </c>
      <c r="J122">
        <v>7</v>
      </c>
      <c r="K122">
        <v>1438.52</v>
      </c>
      <c r="L122">
        <v>332.04</v>
      </c>
    </row>
    <row r="123" spans="1:12" x14ac:dyDescent="0.25">
      <c r="A123">
        <v>10122</v>
      </c>
      <c r="B123" t="s">
        <v>988</v>
      </c>
      <c r="C123" t="s">
        <v>260</v>
      </c>
      <c r="D123" t="s">
        <v>261</v>
      </c>
      <c r="E123" t="s">
        <v>26</v>
      </c>
      <c r="F123" t="s">
        <v>20</v>
      </c>
      <c r="G123" t="s">
        <v>76</v>
      </c>
      <c r="H123" t="s">
        <v>22</v>
      </c>
      <c r="I123" t="s">
        <v>48</v>
      </c>
      <c r="J123">
        <v>7</v>
      </c>
      <c r="K123">
        <v>4923.78</v>
      </c>
      <c r="L123">
        <v>293.18</v>
      </c>
    </row>
    <row r="124" spans="1:12" x14ac:dyDescent="0.25">
      <c r="A124">
        <v>10123</v>
      </c>
      <c r="B124" t="s">
        <v>988</v>
      </c>
      <c r="C124" t="s">
        <v>262</v>
      </c>
      <c r="D124" t="s">
        <v>210</v>
      </c>
      <c r="E124" t="s">
        <v>26</v>
      </c>
      <c r="F124" t="s">
        <v>32</v>
      </c>
      <c r="G124" t="s">
        <v>54</v>
      </c>
      <c r="H124" t="s">
        <v>27</v>
      </c>
      <c r="I124" t="s">
        <v>118</v>
      </c>
      <c r="J124">
        <v>1</v>
      </c>
      <c r="K124">
        <v>2537.19</v>
      </c>
      <c r="L124">
        <v>387.1</v>
      </c>
    </row>
    <row r="125" spans="1:12" x14ac:dyDescent="0.25">
      <c r="A125">
        <v>10124</v>
      </c>
      <c r="B125" t="s">
        <v>988</v>
      </c>
      <c r="C125" t="s">
        <v>183</v>
      </c>
      <c r="D125" t="s">
        <v>263</v>
      </c>
      <c r="E125" t="s">
        <v>13</v>
      </c>
      <c r="F125" t="s">
        <v>32</v>
      </c>
      <c r="G125" t="s">
        <v>33</v>
      </c>
      <c r="H125" t="s">
        <v>27</v>
      </c>
      <c r="I125" t="s">
        <v>118</v>
      </c>
      <c r="J125">
        <v>7</v>
      </c>
      <c r="K125">
        <v>191.83</v>
      </c>
      <c r="L125">
        <v>-32.44</v>
      </c>
    </row>
    <row r="126" spans="1:12" x14ac:dyDescent="0.25">
      <c r="A126">
        <v>10125</v>
      </c>
      <c r="B126" t="s">
        <v>988</v>
      </c>
      <c r="C126" t="s">
        <v>264</v>
      </c>
      <c r="D126" t="s">
        <v>265</v>
      </c>
      <c r="E126" t="s">
        <v>13</v>
      </c>
      <c r="F126" t="s">
        <v>20</v>
      </c>
      <c r="G126" t="s">
        <v>76</v>
      </c>
      <c r="H126" t="s">
        <v>27</v>
      </c>
      <c r="I126" t="s">
        <v>118</v>
      </c>
      <c r="J126">
        <v>7</v>
      </c>
      <c r="K126">
        <v>202.2</v>
      </c>
      <c r="L126">
        <v>-53.61</v>
      </c>
    </row>
    <row r="127" spans="1:12" x14ac:dyDescent="0.25">
      <c r="A127">
        <v>10126</v>
      </c>
      <c r="B127" t="s">
        <v>988</v>
      </c>
      <c r="C127" t="s">
        <v>266</v>
      </c>
      <c r="D127" t="s">
        <v>267</v>
      </c>
      <c r="E127" t="s">
        <v>31</v>
      </c>
      <c r="F127" t="s">
        <v>32</v>
      </c>
      <c r="G127" t="s">
        <v>33</v>
      </c>
      <c r="H127" t="s">
        <v>27</v>
      </c>
      <c r="I127" t="s">
        <v>118</v>
      </c>
      <c r="J127">
        <v>4</v>
      </c>
      <c r="K127">
        <v>2234.81</v>
      </c>
      <c r="L127">
        <v>327.61</v>
      </c>
    </row>
    <row r="128" spans="1:12" x14ac:dyDescent="0.25">
      <c r="A128">
        <v>10127</v>
      </c>
      <c r="B128" t="s">
        <v>988</v>
      </c>
      <c r="C128" t="s">
        <v>268</v>
      </c>
      <c r="D128" t="s">
        <v>269</v>
      </c>
      <c r="E128" t="s">
        <v>13</v>
      </c>
      <c r="F128" t="s">
        <v>46</v>
      </c>
      <c r="G128" t="s">
        <v>47</v>
      </c>
      <c r="H128" t="s">
        <v>22</v>
      </c>
      <c r="I128" t="s">
        <v>23</v>
      </c>
      <c r="J128">
        <v>2</v>
      </c>
      <c r="K128">
        <v>2699.96</v>
      </c>
      <c r="L128">
        <v>188.26</v>
      </c>
    </row>
    <row r="129" spans="1:12" x14ac:dyDescent="0.25">
      <c r="A129">
        <v>10128</v>
      </c>
      <c r="B129" t="s">
        <v>988</v>
      </c>
      <c r="C129" t="s">
        <v>121</v>
      </c>
      <c r="D129" t="s">
        <v>270</v>
      </c>
      <c r="E129" t="s">
        <v>26</v>
      </c>
      <c r="F129" t="s">
        <v>46</v>
      </c>
      <c r="G129" t="s">
        <v>71</v>
      </c>
      <c r="H129" t="s">
        <v>22</v>
      </c>
      <c r="I129" t="s">
        <v>48</v>
      </c>
      <c r="J129">
        <v>5</v>
      </c>
      <c r="K129">
        <v>1066.6300000000001</v>
      </c>
      <c r="L129">
        <v>137.94</v>
      </c>
    </row>
    <row r="130" spans="1:12" x14ac:dyDescent="0.25">
      <c r="A130">
        <v>10129</v>
      </c>
      <c r="B130" t="s">
        <v>988</v>
      </c>
      <c r="C130" t="s">
        <v>246</v>
      </c>
      <c r="D130" t="s">
        <v>271</v>
      </c>
      <c r="E130" t="s">
        <v>31</v>
      </c>
      <c r="F130" t="s">
        <v>20</v>
      </c>
      <c r="G130" t="s">
        <v>76</v>
      </c>
      <c r="H130" t="s">
        <v>16</v>
      </c>
      <c r="I130" t="s">
        <v>51</v>
      </c>
      <c r="J130">
        <v>6</v>
      </c>
      <c r="K130">
        <v>4334.8100000000004</v>
      </c>
      <c r="L130">
        <v>881.36</v>
      </c>
    </row>
    <row r="131" spans="1:12" x14ac:dyDescent="0.25">
      <c r="A131">
        <v>10130</v>
      </c>
      <c r="B131" t="s">
        <v>988</v>
      </c>
      <c r="C131" t="s">
        <v>61</v>
      </c>
      <c r="D131" t="s">
        <v>162</v>
      </c>
      <c r="E131" t="s">
        <v>31</v>
      </c>
      <c r="F131" t="s">
        <v>32</v>
      </c>
      <c r="G131" t="s">
        <v>54</v>
      </c>
      <c r="H131" t="s">
        <v>16</v>
      </c>
      <c r="I131" t="s">
        <v>81</v>
      </c>
      <c r="J131">
        <v>6</v>
      </c>
      <c r="K131">
        <v>2585.9499999999998</v>
      </c>
      <c r="L131">
        <v>284.77999999999997</v>
      </c>
    </row>
    <row r="132" spans="1:12" x14ac:dyDescent="0.25">
      <c r="A132">
        <v>10131</v>
      </c>
      <c r="B132" t="s">
        <v>988</v>
      </c>
      <c r="C132" t="s">
        <v>272</v>
      </c>
      <c r="D132" t="s">
        <v>273</v>
      </c>
      <c r="E132" t="s">
        <v>13</v>
      </c>
      <c r="F132" t="s">
        <v>14</v>
      </c>
      <c r="G132" t="s">
        <v>15</v>
      </c>
      <c r="H132" t="s">
        <v>16</v>
      </c>
      <c r="I132" t="s">
        <v>51</v>
      </c>
      <c r="J132">
        <v>8</v>
      </c>
      <c r="K132">
        <v>2943.61</v>
      </c>
      <c r="L132">
        <v>775.51</v>
      </c>
    </row>
    <row r="133" spans="1:12" x14ac:dyDescent="0.25">
      <c r="A133">
        <v>10132</v>
      </c>
      <c r="B133" t="s">
        <v>988</v>
      </c>
      <c r="C133" t="s">
        <v>274</v>
      </c>
      <c r="D133" t="s">
        <v>275</v>
      </c>
      <c r="E133" t="s">
        <v>26</v>
      </c>
      <c r="F133" t="s">
        <v>46</v>
      </c>
      <c r="G133" t="s">
        <v>47</v>
      </c>
      <c r="H133" t="s">
        <v>16</v>
      </c>
      <c r="I133" t="s">
        <v>51</v>
      </c>
      <c r="J133">
        <v>3</v>
      </c>
      <c r="K133">
        <v>4792.84</v>
      </c>
      <c r="L133">
        <v>698.37</v>
      </c>
    </row>
    <row r="134" spans="1:12" x14ac:dyDescent="0.25">
      <c r="A134">
        <v>10133</v>
      </c>
      <c r="B134" t="s">
        <v>988</v>
      </c>
      <c r="C134" t="s">
        <v>276</v>
      </c>
      <c r="D134" t="s">
        <v>277</v>
      </c>
      <c r="E134" t="s">
        <v>31</v>
      </c>
      <c r="F134" t="s">
        <v>46</v>
      </c>
      <c r="G134" t="s">
        <v>71</v>
      </c>
      <c r="H134" t="s">
        <v>22</v>
      </c>
      <c r="I134" t="s">
        <v>34</v>
      </c>
      <c r="J134">
        <v>8</v>
      </c>
      <c r="K134">
        <v>2667.94</v>
      </c>
      <c r="L134">
        <v>503.74</v>
      </c>
    </row>
    <row r="135" spans="1:12" x14ac:dyDescent="0.25">
      <c r="A135">
        <v>10134</v>
      </c>
      <c r="B135" t="s">
        <v>988</v>
      </c>
      <c r="C135" t="s">
        <v>278</v>
      </c>
      <c r="D135" t="s">
        <v>141</v>
      </c>
      <c r="E135" t="s">
        <v>13</v>
      </c>
      <c r="F135" t="s">
        <v>32</v>
      </c>
      <c r="G135" t="s">
        <v>33</v>
      </c>
      <c r="H135" t="s">
        <v>16</v>
      </c>
      <c r="I135" t="s">
        <v>17</v>
      </c>
      <c r="J135">
        <v>2</v>
      </c>
      <c r="K135">
        <v>1715.48</v>
      </c>
      <c r="L135">
        <v>286.41000000000003</v>
      </c>
    </row>
    <row r="136" spans="1:12" x14ac:dyDescent="0.25">
      <c r="A136">
        <v>10135</v>
      </c>
      <c r="B136" t="s">
        <v>988</v>
      </c>
      <c r="C136" t="s">
        <v>98</v>
      </c>
      <c r="D136" t="s">
        <v>87</v>
      </c>
      <c r="E136" t="s">
        <v>13</v>
      </c>
      <c r="F136" t="s">
        <v>46</v>
      </c>
      <c r="G136" t="s">
        <v>47</v>
      </c>
      <c r="H136" t="s">
        <v>22</v>
      </c>
      <c r="I136" t="s">
        <v>48</v>
      </c>
      <c r="J136">
        <v>6</v>
      </c>
      <c r="K136">
        <v>1620.14</v>
      </c>
      <c r="L136">
        <v>280.52</v>
      </c>
    </row>
    <row r="137" spans="1:12" x14ac:dyDescent="0.25">
      <c r="A137">
        <v>10136</v>
      </c>
      <c r="B137" t="s">
        <v>988</v>
      </c>
      <c r="C137" t="s">
        <v>279</v>
      </c>
      <c r="D137" t="s">
        <v>280</v>
      </c>
      <c r="E137" t="s">
        <v>26</v>
      </c>
      <c r="F137" t="s">
        <v>14</v>
      </c>
      <c r="G137" t="s">
        <v>37</v>
      </c>
      <c r="H137" t="s">
        <v>16</v>
      </c>
      <c r="I137" t="s">
        <v>51</v>
      </c>
      <c r="J137">
        <v>6</v>
      </c>
      <c r="K137">
        <v>4084.61</v>
      </c>
      <c r="L137">
        <v>805.63</v>
      </c>
    </row>
    <row r="138" spans="1:12" x14ac:dyDescent="0.25">
      <c r="A138">
        <v>10137</v>
      </c>
      <c r="B138" t="s">
        <v>988</v>
      </c>
      <c r="C138" t="s">
        <v>281</v>
      </c>
      <c r="D138" t="s">
        <v>282</v>
      </c>
      <c r="E138" t="s">
        <v>26</v>
      </c>
      <c r="F138" t="s">
        <v>20</v>
      </c>
      <c r="G138" t="s">
        <v>76</v>
      </c>
      <c r="H138" t="s">
        <v>22</v>
      </c>
      <c r="I138" t="s">
        <v>38</v>
      </c>
      <c r="J138">
        <v>5</v>
      </c>
      <c r="K138">
        <v>983.29</v>
      </c>
      <c r="L138">
        <v>7.05</v>
      </c>
    </row>
    <row r="139" spans="1:12" x14ac:dyDescent="0.25">
      <c r="A139">
        <v>10138</v>
      </c>
      <c r="B139" t="s">
        <v>988</v>
      </c>
      <c r="C139" t="s">
        <v>283</v>
      </c>
      <c r="D139" t="s">
        <v>284</v>
      </c>
      <c r="E139" t="s">
        <v>13</v>
      </c>
      <c r="F139" t="s">
        <v>46</v>
      </c>
      <c r="G139" t="s">
        <v>71</v>
      </c>
      <c r="H139" t="s">
        <v>22</v>
      </c>
      <c r="I139" t="s">
        <v>38</v>
      </c>
      <c r="J139">
        <v>2</v>
      </c>
      <c r="K139">
        <v>2587.6799999999998</v>
      </c>
      <c r="L139">
        <v>404.71</v>
      </c>
    </row>
    <row r="140" spans="1:12" x14ac:dyDescent="0.25">
      <c r="A140">
        <v>10139</v>
      </c>
      <c r="B140" t="s">
        <v>988</v>
      </c>
      <c r="C140" t="s">
        <v>179</v>
      </c>
      <c r="D140" t="s">
        <v>164</v>
      </c>
      <c r="E140" t="s">
        <v>31</v>
      </c>
      <c r="F140" t="s">
        <v>32</v>
      </c>
      <c r="G140" t="s">
        <v>33</v>
      </c>
      <c r="H140" t="s">
        <v>16</v>
      </c>
      <c r="I140" t="s">
        <v>51</v>
      </c>
      <c r="J140">
        <v>3</v>
      </c>
      <c r="K140">
        <v>895.01</v>
      </c>
      <c r="L140">
        <v>153.66</v>
      </c>
    </row>
    <row r="141" spans="1:12" x14ac:dyDescent="0.25">
      <c r="A141">
        <v>10140</v>
      </c>
      <c r="B141" t="s">
        <v>988</v>
      </c>
      <c r="C141" t="s">
        <v>236</v>
      </c>
      <c r="D141" t="s">
        <v>285</v>
      </c>
      <c r="E141" t="s">
        <v>26</v>
      </c>
      <c r="F141" t="s">
        <v>14</v>
      </c>
      <c r="G141" t="s">
        <v>37</v>
      </c>
      <c r="H141" t="s">
        <v>27</v>
      </c>
      <c r="I141" t="s">
        <v>104</v>
      </c>
      <c r="J141">
        <v>8</v>
      </c>
      <c r="K141">
        <v>3091.92</v>
      </c>
      <c r="L141">
        <v>657.8</v>
      </c>
    </row>
    <row r="142" spans="1:12" x14ac:dyDescent="0.25">
      <c r="A142">
        <v>10141</v>
      </c>
      <c r="B142" t="s">
        <v>988</v>
      </c>
      <c r="C142" t="s">
        <v>286</v>
      </c>
      <c r="D142" t="s">
        <v>287</v>
      </c>
      <c r="E142" t="s">
        <v>26</v>
      </c>
      <c r="F142" t="s">
        <v>32</v>
      </c>
      <c r="G142" t="s">
        <v>54</v>
      </c>
      <c r="H142" t="s">
        <v>22</v>
      </c>
      <c r="I142" t="s">
        <v>38</v>
      </c>
      <c r="J142">
        <v>8</v>
      </c>
      <c r="K142">
        <v>2362.23</v>
      </c>
      <c r="L142">
        <v>246.33</v>
      </c>
    </row>
    <row r="143" spans="1:12" x14ac:dyDescent="0.25">
      <c r="A143">
        <v>10142</v>
      </c>
      <c r="B143" t="s">
        <v>988</v>
      </c>
      <c r="C143" t="s">
        <v>288</v>
      </c>
      <c r="D143" t="s">
        <v>289</v>
      </c>
      <c r="E143" t="s">
        <v>26</v>
      </c>
      <c r="F143" t="s">
        <v>46</v>
      </c>
      <c r="G143" t="s">
        <v>71</v>
      </c>
      <c r="H143" t="s">
        <v>27</v>
      </c>
      <c r="I143" t="s">
        <v>118</v>
      </c>
      <c r="J143">
        <v>8</v>
      </c>
      <c r="K143">
        <v>4383.17</v>
      </c>
      <c r="L143">
        <v>816.56</v>
      </c>
    </row>
    <row r="144" spans="1:12" x14ac:dyDescent="0.25">
      <c r="A144">
        <v>10143</v>
      </c>
      <c r="B144" t="s">
        <v>988</v>
      </c>
      <c r="C144" t="s">
        <v>290</v>
      </c>
      <c r="D144" t="s">
        <v>291</v>
      </c>
      <c r="E144" t="s">
        <v>31</v>
      </c>
      <c r="F144" t="s">
        <v>32</v>
      </c>
      <c r="G144" t="s">
        <v>33</v>
      </c>
      <c r="H144" t="s">
        <v>22</v>
      </c>
      <c r="I144" t="s">
        <v>38</v>
      </c>
      <c r="J144">
        <v>8</v>
      </c>
      <c r="K144">
        <v>4536</v>
      </c>
      <c r="L144">
        <v>350.15</v>
      </c>
    </row>
    <row r="145" spans="1:12" x14ac:dyDescent="0.25">
      <c r="A145">
        <v>10144</v>
      </c>
      <c r="B145" t="s">
        <v>988</v>
      </c>
      <c r="C145" t="s">
        <v>211</v>
      </c>
      <c r="D145" t="s">
        <v>292</v>
      </c>
      <c r="E145" t="s">
        <v>26</v>
      </c>
      <c r="F145" t="s">
        <v>32</v>
      </c>
      <c r="G145" t="s">
        <v>33</v>
      </c>
      <c r="H145" t="s">
        <v>27</v>
      </c>
      <c r="I145" t="s">
        <v>118</v>
      </c>
      <c r="J145">
        <v>7</v>
      </c>
      <c r="K145">
        <v>2559.83</v>
      </c>
      <c r="L145">
        <v>179.43</v>
      </c>
    </row>
    <row r="146" spans="1:12" x14ac:dyDescent="0.25">
      <c r="A146">
        <v>10145</v>
      </c>
      <c r="B146" t="s">
        <v>988</v>
      </c>
      <c r="C146" t="s">
        <v>151</v>
      </c>
      <c r="D146" t="s">
        <v>293</v>
      </c>
      <c r="E146" t="s">
        <v>26</v>
      </c>
      <c r="F146" t="s">
        <v>32</v>
      </c>
      <c r="G146" t="s">
        <v>33</v>
      </c>
      <c r="H146" t="s">
        <v>16</v>
      </c>
      <c r="I146" t="s">
        <v>17</v>
      </c>
      <c r="J146">
        <v>3</v>
      </c>
      <c r="K146">
        <v>774.24</v>
      </c>
      <c r="L146">
        <v>11.26</v>
      </c>
    </row>
    <row r="147" spans="1:12" x14ac:dyDescent="0.25">
      <c r="A147">
        <v>10146</v>
      </c>
      <c r="B147" t="s">
        <v>988</v>
      </c>
      <c r="C147" t="s">
        <v>294</v>
      </c>
      <c r="D147" t="s">
        <v>295</v>
      </c>
      <c r="E147" t="s">
        <v>31</v>
      </c>
      <c r="F147" t="s">
        <v>20</v>
      </c>
      <c r="G147" t="s">
        <v>76</v>
      </c>
      <c r="H147" t="s">
        <v>16</v>
      </c>
      <c r="I147" t="s">
        <v>81</v>
      </c>
      <c r="J147">
        <v>2</v>
      </c>
      <c r="K147">
        <v>193.12</v>
      </c>
      <c r="L147">
        <v>5.12</v>
      </c>
    </row>
    <row r="148" spans="1:12" x14ac:dyDescent="0.25">
      <c r="A148">
        <v>10147</v>
      </c>
      <c r="B148" t="s">
        <v>988</v>
      </c>
      <c r="C148" t="s">
        <v>296</v>
      </c>
      <c r="D148" t="s">
        <v>297</v>
      </c>
      <c r="E148" t="s">
        <v>26</v>
      </c>
      <c r="F148" t="s">
        <v>14</v>
      </c>
      <c r="G148" t="s">
        <v>37</v>
      </c>
      <c r="H148" t="s">
        <v>22</v>
      </c>
      <c r="I148" t="s">
        <v>38</v>
      </c>
      <c r="J148">
        <v>2</v>
      </c>
      <c r="K148">
        <v>333.97</v>
      </c>
      <c r="L148">
        <v>-27.64</v>
      </c>
    </row>
    <row r="149" spans="1:12" x14ac:dyDescent="0.25">
      <c r="A149">
        <v>10148</v>
      </c>
      <c r="B149" t="s">
        <v>988</v>
      </c>
      <c r="C149" t="s">
        <v>298</v>
      </c>
      <c r="D149" t="s">
        <v>299</v>
      </c>
      <c r="E149" t="s">
        <v>26</v>
      </c>
      <c r="F149" t="s">
        <v>20</v>
      </c>
      <c r="G149" t="s">
        <v>21</v>
      </c>
      <c r="H149" t="s">
        <v>16</v>
      </c>
      <c r="I149" t="s">
        <v>43</v>
      </c>
      <c r="J149">
        <v>3</v>
      </c>
      <c r="K149">
        <v>1527.23</v>
      </c>
      <c r="L149">
        <v>41.68</v>
      </c>
    </row>
    <row r="150" spans="1:12" x14ac:dyDescent="0.25">
      <c r="A150">
        <v>10149</v>
      </c>
      <c r="B150" t="s">
        <v>988</v>
      </c>
      <c r="C150" t="s">
        <v>211</v>
      </c>
      <c r="D150" t="s">
        <v>300</v>
      </c>
      <c r="E150" t="s">
        <v>13</v>
      </c>
      <c r="F150" t="s">
        <v>14</v>
      </c>
      <c r="G150" t="s">
        <v>37</v>
      </c>
      <c r="H150" t="s">
        <v>22</v>
      </c>
      <c r="I150" t="s">
        <v>23</v>
      </c>
      <c r="J150">
        <v>7</v>
      </c>
      <c r="K150">
        <v>4379.32</v>
      </c>
      <c r="L150">
        <v>227.94</v>
      </c>
    </row>
    <row r="151" spans="1:12" x14ac:dyDescent="0.25">
      <c r="A151">
        <v>10150</v>
      </c>
      <c r="B151" t="s">
        <v>988</v>
      </c>
      <c r="C151" t="s">
        <v>301</v>
      </c>
      <c r="D151" t="s">
        <v>302</v>
      </c>
      <c r="E151" t="s">
        <v>26</v>
      </c>
      <c r="F151" t="s">
        <v>14</v>
      </c>
      <c r="G151" t="s">
        <v>37</v>
      </c>
      <c r="H151" t="s">
        <v>22</v>
      </c>
      <c r="I151" t="s">
        <v>38</v>
      </c>
      <c r="J151">
        <v>4</v>
      </c>
      <c r="K151">
        <v>3691.41</v>
      </c>
      <c r="L151">
        <v>687.21</v>
      </c>
    </row>
    <row r="152" spans="1:12" x14ac:dyDescent="0.25">
      <c r="A152">
        <v>10151</v>
      </c>
      <c r="B152" t="s">
        <v>988</v>
      </c>
      <c r="C152" t="s">
        <v>303</v>
      </c>
      <c r="D152" t="s">
        <v>297</v>
      </c>
      <c r="E152" t="s">
        <v>13</v>
      </c>
      <c r="F152" t="s">
        <v>32</v>
      </c>
      <c r="G152" t="s">
        <v>54</v>
      </c>
      <c r="H152" t="s">
        <v>16</v>
      </c>
      <c r="I152" t="s">
        <v>43</v>
      </c>
      <c r="J152">
        <v>8</v>
      </c>
      <c r="K152">
        <v>4906.01</v>
      </c>
      <c r="L152">
        <v>813.99</v>
      </c>
    </row>
    <row r="153" spans="1:12" x14ac:dyDescent="0.25">
      <c r="A153">
        <v>10152</v>
      </c>
      <c r="B153" t="s">
        <v>988</v>
      </c>
      <c r="C153" t="s">
        <v>266</v>
      </c>
      <c r="D153" t="s">
        <v>304</v>
      </c>
      <c r="E153" t="s">
        <v>31</v>
      </c>
      <c r="F153" t="s">
        <v>20</v>
      </c>
      <c r="G153" t="s">
        <v>21</v>
      </c>
      <c r="H153" t="s">
        <v>27</v>
      </c>
      <c r="I153" t="s">
        <v>104</v>
      </c>
      <c r="J153">
        <v>1</v>
      </c>
      <c r="K153">
        <v>3976.44</v>
      </c>
      <c r="L153">
        <v>1047.8399999999999</v>
      </c>
    </row>
    <row r="154" spans="1:12" x14ac:dyDescent="0.25">
      <c r="A154">
        <v>10153</v>
      </c>
      <c r="B154" t="s">
        <v>988</v>
      </c>
      <c r="C154" t="s">
        <v>305</v>
      </c>
      <c r="D154" t="s">
        <v>224</v>
      </c>
      <c r="E154" t="s">
        <v>26</v>
      </c>
      <c r="F154" t="s">
        <v>20</v>
      </c>
      <c r="G154" t="s">
        <v>76</v>
      </c>
      <c r="H154" t="s">
        <v>22</v>
      </c>
      <c r="I154" t="s">
        <v>48</v>
      </c>
      <c r="J154">
        <v>5</v>
      </c>
      <c r="K154">
        <v>1849.17</v>
      </c>
      <c r="L154">
        <v>366.86</v>
      </c>
    </row>
    <row r="155" spans="1:12" x14ac:dyDescent="0.25">
      <c r="A155">
        <v>10154</v>
      </c>
      <c r="B155" t="s">
        <v>988</v>
      </c>
      <c r="C155" t="s">
        <v>306</v>
      </c>
      <c r="D155" t="s">
        <v>307</v>
      </c>
      <c r="E155" t="s">
        <v>13</v>
      </c>
      <c r="F155" t="s">
        <v>32</v>
      </c>
      <c r="G155" t="s">
        <v>54</v>
      </c>
      <c r="H155" t="s">
        <v>27</v>
      </c>
      <c r="I155" t="s">
        <v>77</v>
      </c>
      <c r="J155">
        <v>7</v>
      </c>
      <c r="K155">
        <v>1761.28</v>
      </c>
      <c r="L155">
        <v>101.12</v>
      </c>
    </row>
    <row r="156" spans="1:12" x14ac:dyDescent="0.25">
      <c r="A156">
        <v>10155</v>
      </c>
      <c r="B156" t="s">
        <v>988</v>
      </c>
      <c r="C156" t="s">
        <v>308</v>
      </c>
      <c r="D156" t="s">
        <v>309</v>
      </c>
      <c r="E156" t="s">
        <v>26</v>
      </c>
      <c r="F156" t="s">
        <v>32</v>
      </c>
      <c r="G156" t="s">
        <v>33</v>
      </c>
      <c r="H156" t="s">
        <v>16</v>
      </c>
      <c r="I156" t="s">
        <v>51</v>
      </c>
      <c r="J156">
        <v>2</v>
      </c>
      <c r="K156">
        <v>2209.98</v>
      </c>
      <c r="L156">
        <v>642.24</v>
      </c>
    </row>
    <row r="157" spans="1:12" x14ac:dyDescent="0.25">
      <c r="A157">
        <v>10156</v>
      </c>
      <c r="B157" t="s">
        <v>988</v>
      </c>
      <c r="C157" t="s">
        <v>310</v>
      </c>
      <c r="D157" t="s">
        <v>311</v>
      </c>
      <c r="E157" t="s">
        <v>31</v>
      </c>
      <c r="F157" t="s">
        <v>14</v>
      </c>
      <c r="G157" t="s">
        <v>37</v>
      </c>
      <c r="H157" t="s">
        <v>16</v>
      </c>
      <c r="I157" t="s">
        <v>17</v>
      </c>
      <c r="J157">
        <v>5</v>
      </c>
      <c r="K157">
        <v>2284.9899999999998</v>
      </c>
      <c r="L157">
        <v>507.55</v>
      </c>
    </row>
    <row r="158" spans="1:12" x14ac:dyDescent="0.25">
      <c r="A158">
        <v>10157</v>
      </c>
      <c r="B158" t="s">
        <v>988</v>
      </c>
      <c r="C158" t="s">
        <v>312</v>
      </c>
      <c r="D158" t="s">
        <v>99</v>
      </c>
      <c r="E158" t="s">
        <v>31</v>
      </c>
      <c r="F158" t="s">
        <v>14</v>
      </c>
      <c r="G158" t="s">
        <v>37</v>
      </c>
      <c r="H158" t="s">
        <v>16</v>
      </c>
      <c r="I158" t="s">
        <v>51</v>
      </c>
      <c r="J158">
        <v>5</v>
      </c>
      <c r="K158">
        <v>3233.4</v>
      </c>
      <c r="L158">
        <v>795.73</v>
      </c>
    </row>
    <row r="159" spans="1:12" x14ac:dyDescent="0.25">
      <c r="A159">
        <v>10158</v>
      </c>
      <c r="B159" t="s">
        <v>988</v>
      </c>
      <c r="C159" t="s">
        <v>313</v>
      </c>
      <c r="D159" t="s">
        <v>314</v>
      </c>
      <c r="E159" t="s">
        <v>31</v>
      </c>
      <c r="F159" t="s">
        <v>32</v>
      </c>
      <c r="G159" t="s">
        <v>33</v>
      </c>
      <c r="H159" t="s">
        <v>22</v>
      </c>
      <c r="I159" t="s">
        <v>48</v>
      </c>
      <c r="J159">
        <v>8</v>
      </c>
      <c r="K159">
        <v>270.51</v>
      </c>
      <c r="L159">
        <v>-59.78</v>
      </c>
    </row>
    <row r="160" spans="1:12" x14ac:dyDescent="0.25">
      <c r="A160">
        <v>10159</v>
      </c>
      <c r="B160" t="s">
        <v>988</v>
      </c>
      <c r="C160" t="s">
        <v>59</v>
      </c>
      <c r="D160" t="s">
        <v>315</v>
      </c>
      <c r="E160" t="s">
        <v>31</v>
      </c>
      <c r="F160" t="s">
        <v>14</v>
      </c>
      <c r="G160" t="s">
        <v>15</v>
      </c>
      <c r="H160" t="s">
        <v>16</v>
      </c>
      <c r="I160" t="s">
        <v>51</v>
      </c>
      <c r="J160">
        <v>6</v>
      </c>
      <c r="K160">
        <v>1922.87</v>
      </c>
      <c r="L160">
        <v>405.58</v>
      </c>
    </row>
    <row r="161" spans="1:12" x14ac:dyDescent="0.25">
      <c r="A161">
        <v>10160</v>
      </c>
      <c r="B161" t="s">
        <v>988</v>
      </c>
      <c r="C161" t="s">
        <v>316</v>
      </c>
      <c r="D161" t="s">
        <v>196</v>
      </c>
      <c r="E161" t="s">
        <v>31</v>
      </c>
      <c r="F161" t="s">
        <v>32</v>
      </c>
      <c r="G161" t="s">
        <v>54</v>
      </c>
      <c r="H161" t="s">
        <v>22</v>
      </c>
      <c r="I161" t="s">
        <v>23</v>
      </c>
      <c r="J161">
        <v>1</v>
      </c>
      <c r="K161">
        <v>3704.81</v>
      </c>
      <c r="L161">
        <v>608.76</v>
      </c>
    </row>
    <row r="162" spans="1:12" x14ac:dyDescent="0.25">
      <c r="A162">
        <v>10161</v>
      </c>
      <c r="B162" t="s">
        <v>988</v>
      </c>
      <c r="C162" t="s">
        <v>317</v>
      </c>
      <c r="D162" t="s">
        <v>318</v>
      </c>
      <c r="E162" t="s">
        <v>31</v>
      </c>
      <c r="F162" t="s">
        <v>32</v>
      </c>
      <c r="G162" t="s">
        <v>54</v>
      </c>
      <c r="H162" t="s">
        <v>22</v>
      </c>
      <c r="I162" t="s">
        <v>38</v>
      </c>
      <c r="J162">
        <v>8</v>
      </c>
      <c r="K162">
        <v>1080.8699999999999</v>
      </c>
      <c r="L162">
        <v>83.31</v>
      </c>
    </row>
    <row r="163" spans="1:12" x14ac:dyDescent="0.25">
      <c r="A163">
        <v>10162</v>
      </c>
      <c r="B163" t="s">
        <v>988</v>
      </c>
      <c r="C163" t="s">
        <v>319</v>
      </c>
      <c r="D163" t="s">
        <v>320</v>
      </c>
      <c r="E163" t="s">
        <v>13</v>
      </c>
      <c r="F163" t="s">
        <v>14</v>
      </c>
      <c r="G163" t="s">
        <v>37</v>
      </c>
      <c r="H163" t="s">
        <v>16</v>
      </c>
      <c r="I163" t="s">
        <v>17</v>
      </c>
      <c r="J163">
        <v>2</v>
      </c>
      <c r="K163">
        <v>2794.99</v>
      </c>
      <c r="L163">
        <v>312.64</v>
      </c>
    </row>
    <row r="164" spans="1:12" x14ac:dyDescent="0.25">
      <c r="A164">
        <v>10163</v>
      </c>
      <c r="B164" t="s">
        <v>988</v>
      </c>
      <c r="C164" t="s">
        <v>181</v>
      </c>
      <c r="D164" t="s">
        <v>321</v>
      </c>
      <c r="E164" t="s">
        <v>31</v>
      </c>
      <c r="F164" t="s">
        <v>46</v>
      </c>
      <c r="G164" t="s">
        <v>47</v>
      </c>
      <c r="H164" t="s">
        <v>16</v>
      </c>
      <c r="I164" t="s">
        <v>43</v>
      </c>
      <c r="J164">
        <v>2</v>
      </c>
      <c r="K164">
        <v>4927.1499999999996</v>
      </c>
      <c r="L164">
        <v>1198.3399999999999</v>
      </c>
    </row>
    <row r="165" spans="1:12" x14ac:dyDescent="0.25">
      <c r="A165">
        <v>10164</v>
      </c>
      <c r="B165" t="s">
        <v>988</v>
      </c>
      <c r="C165" t="s">
        <v>322</v>
      </c>
      <c r="D165" t="s">
        <v>323</v>
      </c>
      <c r="E165" t="s">
        <v>31</v>
      </c>
      <c r="F165" t="s">
        <v>32</v>
      </c>
      <c r="G165" t="s">
        <v>54</v>
      </c>
      <c r="H165" t="s">
        <v>16</v>
      </c>
      <c r="I165" t="s">
        <v>43</v>
      </c>
      <c r="J165">
        <v>2</v>
      </c>
      <c r="K165">
        <v>422.17</v>
      </c>
      <c r="L165">
        <v>-8.56</v>
      </c>
    </row>
    <row r="166" spans="1:12" x14ac:dyDescent="0.25">
      <c r="A166">
        <v>10165</v>
      </c>
      <c r="B166" t="s">
        <v>988</v>
      </c>
      <c r="C166" t="s">
        <v>324</v>
      </c>
      <c r="D166" t="s">
        <v>325</v>
      </c>
      <c r="E166" t="s">
        <v>13</v>
      </c>
      <c r="F166" t="s">
        <v>20</v>
      </c>
      <c r="G166" t="s">
        <v>21</v>
      </c>
      <c r="H166" t="s">
        <v>22</v>
      </c>
      <c r="I166" t="s">
        <v>38</v>
      </c>
      <c r="J166">
        <v>2</v>
      </c>
      <c r="K166">
        <v>2304.88</v>
      </c>
      <c r="L166">
        <v>472.68</v>
      </c>
    </row>
    <row r="167" spans="1:12" x14ac:dyDescent="0.25">
      <c r="A167">
        <v>10166</v>
      </c>
      <c r="B167" t="s">
        <v>988</v>
      </c>
      <c r="C167" t="s">
        <v>326</v>
      </c>
      <c r="D167" t="s">
        <v>327</v>
      </c>
      <c r="E167" t="s">
        <v>31</v>
      </c>
      <c r="F167" t="s">
        <v>46</v>
      </c>
      <c r="G167" t="s">
        <v>71</v>
      </c>
      <c r="H167" t="s">
        <v>27</v>
      </c>
      <c r="I167" t="s">
        <v>118</v>
      </c>
      <c r="J167">
        <v>2</v>
      </c>
      <c r="K167">
        <v>2638.7</v>
      </c>
      <c r="L167">
        <v>316.36</v>
      </c>
    </row>
    <row r="168" spans="1:12" x14ac:dyDescent="0.25">
      <c r="A168">
        <v>10167</v>
      </c>
      <c r="B168" t="s">
        <v>988</v>
      </c>
      <c r="C168" t="s">
        <v>328</v>
      </c>
      <c r="D168" t="s">
        <v>329</v>
      </c>
      <c r="E168" t="s">
        <v>26</v>
      </c>
      <c r="F168" t="s">
        <v>32</v>
      </c>
      <c r="G168" t="s">
        <v>33</v>
      </c>
      <c r="H168" t="s">
        <v>27</v>
      </c>
      <c r="I168" t="s">
        <v>104</v>
      </c>
      <c r="J168">
        <v>5</v>
      </c>
      <c r="K168">
        <v>713.33</v>
      </c>
      <c r="L168">
        <v>36.32</v>
      </c>
    </row>
    <row r="169" spans="1:12" x14ac:dyDescent="0.25">
      <c r="A169">
        <v>10168</v>
      </c>
      <c r="B169" t="s">
        <v>988</v>
      </c>
      <c r="C169" t="s">
        <v>330</v>
      </c>
      <c r="D169" t="s">
        <v>331</v>
      </c>
      <c r="E169" t="s">
        <v>13</v>
      </c>
      <c r="F169" t="s">
        <v>46</v>
      </c>
      <c r="G169" t="s">
        <v>71</v>
      </c>
      <c r="H169" t="s">
        <v>16</v>
      </c>
      <c r="I169" t="s">
        <v>17</v>
      </c>
      <c r="J169">
        <v>1</v>
      </c>
      <c r="K169">
        <v>4143.66</v>
      </c>
      <c r="L169">
        <v>232.03</v>
      </c>
    </row>
    <row r="170" spans="1:12" x14ac:dyDescent="0.25">
      <c r="A170">
        <v>10169</v>
      </c>
      <c r="B170" t="s">
        <v>988</v>
      </c>
      <c r="C170" t="s">
        <v>216</v>
      </c>
      <c r="D170" t="s">
        <v>332</v>
      </c>
      <c r="E170" t="s">
        <v>26</v>
      </c>
      <c r="F170" t="s">
        <v>32</v>
      </c>
      <c r="G170" t="s">
        <v>33</v>
      </c>
      <c r="H170" t="s">
        <v>16</v>
      </c>
      <c r="I170" t="s">
        <v>51</v>
      </c>
      <c r="J170">
        <v>1</v>
      </c>
      <c r="K170">
        <v>2540.39</v>
      </c>
      <c r="L170">
        <v>496.36</v>
      </c>
    </row>
    <row r="171" spans="1:12" x14ac:dyDescent="0.25">
      <c r="A171">
        <v>10170</v>
      </c>
      <c r="B171" t="s">
        <v>988</v>
      </c>
      <c r="C171" t="s">
        <v>157</v>
      </c>
      <c r="D171" t="s">
        <v>333</v>
      </c>
      <c r="E171" t="s">
        <v>26</v>
      </c>
      <c r="F171" t="s">
        <v>20</v>
      </c>
      <c r="G171" t="s">
        <v>76</v>
      </c>
      <c r="H171" t="s">
        <v>27</v>
      </c>
      <c r="I171" t="s">
        <v>118</v>
      </c>
      <c r="J171">
        <v>1</v>
      </c>
      <c r="K171">
        <v>874.59</v>
      </c>
      <c r="L171">
        <v>88.16</v>
      </c>
    </row>
    <row r="172" spans="1:12" x14ac:dyDescent="0.25">
      <c r="A172">
        <v>10171</v>
      </c>
      <c r="B172" t="s">
        <v>988</v>
      </c>
      <c r="C172" t="s">
        <v>334</v>
      </c>
      <c r="D172" t="s">
        <v>335</v>
      </c>
      <c r="E172" t="s">
        <v>31</v>
      </c>
      <c r="F172" t="s">
        <v>32</v>
      </c>
      <c r="G172" t="s">
        <v>54</v>
      </c>
      <c r="H172" t="s">
        <v>16</v>
      </c>
      <c r="I172" t="s">
        <v>17</v>
      </c>
      <c r="J172">
        <v>7</v>
      </c>
      <c r="K172">
        <v>740.75</v>
      </c>
      <c r="L172">
        <v>49.49</v>
      </c>
    </row>
    <row r="173" spans="1:12" x14ac:dyDescent="0.25">
      <c r="A173">
        <v>10172</v>
      </c>
      <c r="B173" t="s">
        <v>988</v>
      </c>
      <c r="C173" t="s">
        <v>336</v>
      </c>
      <c r="D173" t="s">
        <v>287</v>
      </c>
      <c r="E173" t="s">
        <v>26</v>
      </c>
      <c r="F173" t="s">
        <v>14</v>
      </c>
      <c r="G173" t="s">
        <v>37</v>
      </c>
      <c r="H173" t="s">
        <v>27</v>
      </c>
      <c r="I173" t="s">
        <v>104</v>
      </c>
      <c r="J173">
        <v>3</v>
      </c>
      <c r="K173">
        <v>574.38</v>
      </c>
      <c r="L173">
        <v>31.98</v>
      </c>
    </row>
    <row r="174" spans="1:12" x14ac:dyDescent="0.25">
      <c r="A174">
        <v>10173</v>
      </c>
      <c r="B174" t="s">
        <v>988</v>
      </c>
      <c r="C174" t="s">
        <v>337</v>
      </c>
      <c r="D174" t="s">
        <v>338</v>
      </c>
      <c r="E174" t="s">
        <v>31</v>
      </c>
      <c r="F174" t="s">
        <v>46</v>
      </c>
      <c r="G174" t="s">
        <v>47</v>
      </c>
      <c r="H174" t="s">
        <v>16</v>
      </c>
      <c r="I174" t="s">
        <v>17</v>
      </c>
      <c r="J174">
        <v>4</v>
      </c>
      <c r="K174">
        <v>3839.29</v>
      </c>
      <c r="L174">
        <v>618.74</v>
      </c>
    </row>
    <row r="175" spans="1:12" x14ac:dyDescent="0.25">
      <c r="A175">
        <v>10174</v>
      </c>
      <c r="B175" t="s">
        <v>988</v>
      </c>
      <c r="C175" t="s">
        <v>339</v>
      </c>
      <c r="D175" t="s">
        <v>166</v>
      </c>
      <c r="E175" t="s">
        <v>13</v>
      </c>
      <c r="F175" t="s">
        <v>14</v>
      </c>
      <c r="G175" t="s">
        <v>15</v>
      </c>
      <c r="H175" t="s">
        <v>27</v>
      </c>
      <c r="I175" t="s">
        <v>77</v>
      </c>
      <c r="J175">
        <v>4</v>
      </c>
      <c r="K175">
        <v>1154.21</v>
      </c>
      <c r="L175">
        <v>154.49</v>
      </c>
    </row>
    <row r="176" spans="1:12" x14ac:dyDescent="0.25">
      <c r="A176">
        <v>10175</v>
      </c>
      <c r="B176" t="s">
        <v>988</v>
      </c>
      <c r="C176" t="s">
        <v>189</v>
      </c>
      <c r="D176" t="s">
        <v>340</v>
      </c>
      <c r="E176" t="s">
        <v>26</v>
      </c>
      <c r="F176" t="s">
        <v>20</v>
      </c>
      <c r="G176" t="s">
        <v>76</v>
      </c>
      <c r="H176" t="s">
        <v>16</v>
      </c>
      <c r="I176" t="s">
        <v>81</v>
      </c>
      <c r="J176">
        <v>2</v>
      </c>
      <c r="K176">
        <v>2211.5500000000002</v>
      </c>
      <c r="L176">
        <v>525.73</v>
      </c>
    </row>
    <row r="177" spans="1:12" x14ac:dyDescent="0.25">
      <c r="A177">
        <v>10176</v>
      </c>
      <c r="B177" t="s">
        <v>988</v>
      </c>
      <c r="C177" t="s">
        <v>341</v>
      </c>
      <c r="D177" t="s">
        <v>158</v>
      </c>
      <c r="E177" t="s">
        <v>13</v>
      </c>
      <c r="F177" t="s">
        <v>20</v>
      </c>
      <c r="G177" t="s">
        <v>21</v>
      </c>
      <c r="H177" t="s">
        <v>16</v>
      </c>
      <c r="I177" t="s">
        <v>43</v>
      </c>
      <c r="J177">
        <v>6</v>
      </c>
      <c r="K177">
        <v>2810.79</v>
      </c>
      <c r="L177">
        <v>141.78</v>
      </c>
    </row>
    <row r="178" spans="1:12" x14ac:dyDescent="0.25">
      <c r="A178">
        <v>10177</v>
      </c>
      <c r="B178" t="s">
        <v>988</v>
      </c>
      <c r="C178" t="s">
        <v>342</v>
      </c>
      <c r="D178" t="s">
        <v>217</v>
      </c>
      <c r="E178" t="s">
        <v>13</v>
      </c>
      <c r="F178" t="s">
        <v>14</v>
      </c>
      <c r="G178" t="s">
        <v>15</v>
      </c>
      <c r="H178" t="s">
        <v>22</v>
      </c>
      <c r="I178" t="s">
        <v>34</v>
      </c>
      <c r="J178">
        <v>6</v>
      </c>
      <c r="K178">
        <v>3995</v>
      </c>
      <c r="L178">
        <v>444.52</v>
      </c>
    </row>
    <row r="179" spans="1:12" x14ac:dyDescent="0.25">
      <c r="A179">
        <v>10178</v>
      </c>
      <c r="B179" t="s">
        <v>988</v>
      </c>
      <c r="C179" t="s">
        <v>100</v>
      </c>
      <c r="D179" t="s">
        <v>343</v>
      </c>
      <c r="E179" t="s">
        <v>13</v>
      </c>
      <c r="F179" t="s">
        <v>20</v>
      </c>
      <c r="G179" t="s">
        <v>21</v>
      </c>
      <c r="H179" t="s">
        <v>22</v>
      </c>
      <c r="I179" t="s">
        <v>23</v>
      </c>
      <c r="J179">
        <v>3</v>
      </c>
      <c r="K179">
        <v>3596.6</v>
      </c>
      <c r="L179">
        <v>850.78</v>
      </c>
    </row>
    <row r="180" spans="1:12" x14ac:dyDescent="0.25">
      <c r="A180">
        <v>10179</v>
      </c>
      <c r="B180" t="s">
        <v>988</v>
      </c>
      <c r="C180" t="s">
        <v>344</v>
      </c>
      <c r="D180" t="s">
        <v>345</v>
      </c>
      <c r="E180" t="s">
        <v>13</v>
      </c>
      <c r="F180" t="s">
        <v>46</v>
      </c>
      <c r="G180" t="s">
        <v>47</v>
      </c>
      <c r="H180" t="s">
        <v>16</v>
      </c>
      <c r="I180" t="s">
        <v>17</v>
      </c>
      <c r="J180">
        <v>3</v>
      </c>
      <c r="K180">
        <v>2025.48</v>
      </c>
      <c r="L180">
        <v>329.19</v>
      </c>
    </row>
    <row r="181" spans="1:12" x14ac:dyDescent="0.25">
      <c r="A181">
        <v>10180</v>
      </c>
      <c r="B181" t="s">
        <v>988</v>
      </c>
      <c r="C181" t="s">
        <v>346</v>
      </c>
      <c r="D181" t="s">
        <v>347</v>
      </c>
      <c r="E181" t="s">
        <v>13</v>
      </c>
      <c r="F181" t="s">
        <v>20</v>
      </c>
      <c r="G181" t="s">
        <v>76</v>
      </c>
      <c r="H181" t="s">
        <v>27</v>
      </c>
      <c r="I181" t="s">
        <v>118</v>
      </c>
      <c r="J181">
        <v>6</v>
      </c>
      <c r="K181">
        <v>1723.07</v>
      </c>
      <c r="L181">
        <v>91.71</v>
      </c>
    </row>
    <row r="182" spans="1:12" x14ac:dyDescent="0.25">
      <c r="A182">
        <v>10181</v>
      </c>
      <c r="B182" t="s">
        <v>988</v>
      </c>
      <c r="C182" t="s">
        <v>348</v>
      </c>
      <c r="D182" t="s">
        <v>349</v>
      </c>
      <c r="E182" t="s">
        <v>31</v>
      </c>
      <c r="F182" t="s">
        <v>14</v>
      </c>
      <c r="G182" t="s">
        <v>37</v>
      </c>
      <c r="H182" t="s">
        <v>27</v>
      </c>
      <c r="I182" t="s">
        <v>104</v>
      </c>
      <c r="J182">
        <v>1</v>
      </c>
      <c r="K182">
        <v>2959.26</v>
      </c>
      <c r="L182">
        <v>211.21</v>
      </c>
    </row>
    <row r="183" spans="1:12" x14ac:dyDescent="0.25">
      <c r="A183">
        <v>10182</v>
      </c>
      <c r="B183" t="s">
        <v>988</v>
      </c>
      <c r="C183" t="s">
        <v>232</v>
      </c>
      <c r="D183" t="s">
        <v>350</v>
      </c>
      <c r="E183" t="s">
        <v>31</v>
      </c>
      <c r="F183" t="s">
        <v>46</v>
      </c>
      <c r="G183" t="s">
        <v>71</v>
      </c>
      <c r="H183" t="s">
        <v>22</v>
      </c>
      <c r="I183" t="s">
        <v>23</v>
      </c>
      <c r="J183">
        <v>4</v>
      </c>
      <c r="K183">
        <v>192.79</v>
      </c>
      <c r="L183">
        <v>9.6199999999999992</v>
      </c>
    </row>
    <row r="184" spans="1:12" x14ac:dyDescent="0.25">
      <c r="A184">
        <v>10183</v>
      </c>
      <c r="B184" t="s">
        <v>988</v>
      </c>
      <c r="C184" t="s">
        <v>351</v>
      </c>
      <c r="D184" t="s">
        <v>352</v>
      </c>
      <c r="E184" t="s">
        <v>26</v>
      </c>
      <c r="F184" t="s">
        <v>20</v>
      </c>
      <c r="G184" t="s">
        <v>21</v>
      </c>
      <c r="H184" t="s">
        <v>16</v>
      </c>
      <c r="I184" t="s">
        <v>43</v>
      </c>
      <c r="J184">
        <v>4</v>
      </c>
      <c r="K184">
        <v>2848.35</v>
      </c>
      <c r="L184">
        <v>805.33</v>
      </c>
    </row>
    <row r="185" spans="1:12" x14ac:dyDescent="0.25">
      <c r="A185">
        <v>10184</v>
      </c>
      <c r="B185" t="s">
        <v>988</v>
      </c>
      <c r="C185" t="s">
        <v>353</v>
      </c>
      <c r="D185" t="s">
        <v>354</v>
      </c>
      <c r="E185" t="s">
        <v>26</v>
      </c>
      <c r="F185" t="s">
        <v>20</v>
      </c>
      <c r="G185" t="s">
        <v>76</v>
      </c>
      <c r="H185" t="s">
        <v>16</v>
      </c>
      <c r="I185" t="s">
        <v>17</v>
      </c>
      <c r="J185">
        <v>5</v>
      </c>
      <c r="K185">
        <v>3089.38</v>
      </c>
      <c r="L185">
        <v>278.31</v>
      </c>
    </row>
    <row r="186" spans="1:12" x14ac:dyDescent="0.25">
      <c r="A186">
        <v>10185</v>
      </c>
      <c r="B186" t="s">
        <v>988</v>
      </c>
      <c r="C186" t="s">
        <v>167</v>
      </c>
      <c r="D186" t="s">
        <v>355</v>
      </c>
      <c r="E186" t="s">
        <v>26</v>
      </c>
      <c r="F186" t="s">
        <v>32</v>
      </c>
      <c r="G186" t="s">
        <v>54</v>
      </c>
      <c r="H186" t="s">
        <v>16</v>
      </c>
      <c r="I186" t="s">
        <v>43</v>
      </c>
      <c r="J186">
        <v>8</v>
      </c>
      <c r="K186">
        <v>1653.5</v>
      </c>
      <c r="L186">
        <v>133.49</v>
      </c>
    </row>
    <row r="187" spans="1:12" x14ac:dyDescent="0.25">
      <c r="A187">
        <v>10186</v>
      </c>
      <c r="B187" t="s">
        <v>988</v>
      </c>
      <c r="C187" t="s">
        <v>191</v>
      </c>
      <c r="D187" t="s">
        <v>356</v>
      </c>
      <c r="E187" t="s">
        <v>31</v>
      </c>
      <c r="F187" t="s">
        <v>20</v>
      </c>
      <c r="G187" t="s">
        <v>76</v>
      </c>
      <c r="H187" t="s">
        <v>27</v>
      </c>
      <c r="I187" t="s">
        <v>104</v>
      </c>
      <c r="J187">
        <v>5</v>
      </c>
      <c r="K187">
        <v>306.13</v>
      </c>
      <c r="L187">
        <v>80.52</v>
      </c>
    </row>
    <row r="188" spans="1:12" x14ac:dyDescent="0.25">
      <c r="A188">
        <v>10187</v>
      </c>
      <c r="B188" t="s">
        <v>988</v>
      </c>
      <c r="C188" t="s">
        <v>357</v>
      </c>
      <c r="D188" t="s">
        <v>235</v>
      </c>
      <c r="E188" t="s">
        <v>13</v>
      </c>
      <c r="F188" t="s">
        <v>20</v>
      </c>
      <c r="G188" t="s">
        <v>21</v>
      </c>
      <c r="H188" t="s">
        <v>22</v>
      </c>
      <c r="I188" t="s">
        <v>38</v>
      </c>
      <c r="J188">
        <v>5</v>
      </c>
      <c r="K188">
        <v>772.64</v>
      </c>
      <c r="L188">
        <v>98.87</v>
      </c>
    </row>
    <row r="189" spans="1:12" x14ac:dyDescent="0.25">
      <c r="A189">
        <v>10188</v>
      </c>
      <c r="B189" t="s">
        <v>988</v>
      </c>
      <c r="C189" t="s">
        <v>358</v>
      </c>
      <c r="D189" t="s">
        <v>359</v>
      </c>
      <c r="E189" t="s">
        <v>13</v>
      </c>
      <c r="F189" t="s">
        <v>46</v>
      </c>
      <c r="G189" t="s">
        <v>71</v>
      </c>
      <c r="H189" t="s">
        <v>22</v>
      </c>
      <c r="I189" t="s">
        <v>23</v>
      </c>
      <c r="J189">
        <v>7</v>
      </c>
      <c r="K189">
        <v>1718.44</v>
      </c>
      <c r="L189">
        <v>220.75</v>
      </c>
    </row>
    <row r="190" spans="1:12" x14ac:dyDescent="0.25">
      <c r="A190">
        <v>10189</v>
      </c>
      <c r="B190" t="s">
        <v>988</v>
      </c>
      <c r="C190" t="s">
        <v>360</v>
      </c>
      <c r="D190" t="s">
        <v>361</v>
      </c>
      <c r="E190" t="s">
        <v>26</v>
      </c>
      <c r="F190" t="s">
        <v>46</v>
      </c>
      <c r="G190" t="s">
        <v>47</v>
      </c>
      <c r="H190" t="s">
        <v>16</v>
      </c>
      <c r="I190" t="s">
        <v>51</v>
      </c>
      <c r="J190">
        <v>8</v>
      </c>
      <c r="K190">
        <v>3287.64</v>
      </c>
      <c r="L190">
        <v>756.95</v>
      </c>
    </row>
    <row r="191" spans="1:12" x14ac:dyDescent="0.25">
      <c r="A191">
        <v>10190</v>
      </c>
      <c r="B191" t="s">
        <v>988</v>
      </c>
      <c r="C191" t="s">
        <v>362</v>
      </c>
      <c r="D191" t="s">
        <v>363</v>
      </c>
      <c r="E191" t="s">
        <v>31</v>
      </c>
      <c r="F191" t="s">
        <v>14</v>
      </c>
      <c r="G191" t="s">
        <v>15</v>
      </c>
      <c r="H191" t="s">
        <v>16</v>
      </c>
      <c r="I191" t="s">
        <v>81</v>
      </c>
      <c r="J191">
        <v>3</v>
      </c>
      <c r="K191">
        <v>2147.64</v>
      </c>
      <c r="L191">
        <v>463.71</v>
      </c>
    </row>
    <row r="192" spans="1:12" x14ac:dyDescent="0.25">
      <c r="A192">
        <v>10191</v>
      </c>
      <c r="B192" t="s">
        <v>988</v>
      </c>
      <c r="C192" t="s">
        <v>132</v>
      </c>
      <c r="D192" t="s">
        <v>364</v>
      </c>
      <c r="E192" t="s">
        <v>31</v>
      </c>
      <c r="F192" t="s">
        <v>20</v>
      </c>
      <c r="G192" t="s">
        <v>21</v>
      </c>
      <c r="H192" t="s">
        <v>16</v>
      </c>
      <c r="I192" t="s">
        <v>17</v>
      </c>
      <c r="J192">
        <v>1</v>
      </c>
      <c r="K192">
        <v>145.41</v>
      </c>
      <c r="L192">
        <v>17.190000000000001</v>
      </c>
    </row>
    <row r="193" spans="1:12" x14ac:dyDescent="0.25">
      <c r="A193">
        <v>10192</v>
      </c>
      <c r="B193" t="s">
        <v>988</v>
      </c>
      <c r="C193" t="s">
        <v>296</v>
      </c>
      <c r="D193" t="s">
        <v>365</v>
      </c>
      <c r="E193" t="s">
        <v>31</v>
      </c>
      <c r="F193" t="s">
        <v>20</v>
      </c>
      <c r="G193" t="s">
        <v>21</v>
      </c>
      <c r="H193" t="s">
        <v>16</v>
      </c>
      <c r="I193" t="s">
        <v>51</v>
      </c>
      <c r="J193">
        <v>5</v>
      </c>
      <c r="K193">
        <v>1044.78</v>
      </c>
      <c r="L193">
        <v>65.41</v>
      </c>
    </row>
    <row r="194" spans="1:12" x14ac:dyDescent="0.25">
      <c r="A194">
        <v>10193</v>
      </c>
      <c r="B194" t="s">
        <v>988</v>
      </c>
      <c r="C194" t="s">
        <v>41</v>
      </c>
      <c r="D194" t="s">
        <v>366</v>
      </c>
      <c r="E194" t="s">
        <v>31</v>
      </c>
      <c r="F194" t="s">
        <v>46</v>
      </c>
      <c r="G194" t="s">
        <v>71</v>
      </c>
      <c r="H194" t="s">
        <v>16</v>
      </c>
      <c r="I194" t="s">
        <v>17</v>
      </c>
      <c r="J194">
        <v>5</v>
      </c>
      <c r="K194">
        <v>2882.13</v>
      </c>
      <c r="L194">
        <v>672.2</v>
      </c>
    </row>
    <row r="195" spans="1:12" x14ac:dyDescent="0.25">
      <c r="A195">
        <v>10194</v>
      </c>
      <c r="B195" t="s">
        <v>988</v>
      </c>
      <c r="C195" t="s">
        <v>253</v>
      </c>
      <c r="D195" t="s">
        <v>367</v>
      </c>
      <c r="E195" t="s">
        <v>31</v>
      </c>
      <c r="F195" t="s">
        <v>32</v>
      </c>
      <c r="G195" t="s">
        <v>33</v>
      </c>
      <c r="H195" t="s">
        <v>27</v>
      </c>
      <c r="I195" t="s">
        <v>118</v>
      </c>
      <c r="J195">
        <v>3</v>
      </c>
      <c r="K195">
        <v>4910.26</v>
      </c>
      <c r="L195">
        <v>738.04</v>
      </c>
    </row>
    <row r="196" spans="1:12" x14ac:dyDescent="0.25">
      <c r="A196">
        <v>10195</v>
      </c>
      <c r="B196" t="s">
        <v>988</v>
      </c>
      <c r="C196" t="s">
        <v>368</v>
      </c>
      <c r="D196" t="s">
        <v>369</v>
      </c>
      <c r="E196" t="s">
        <v>26</v>
      </c>
      <c r="F196" t="s">
        <v>46</v>
      </c>
      <c r="G196" t="s">
        <v>47</v>
      </c>
      <c r="H196" t="s">
        <v>27</v>
      </c>
      <c r="I196" t="s">
        <v>28</v>
      </c>
      <c r="J196">
        <v>5</v>
      </c>
      <c r="K196">
        <v>2954.06</v>
      </c>
      <c r="L196">
        <v>544.63</v>
      </c>
    </row>
    <row r="197" spans="1:12" x14ac:dyDescent="0.25">
      <c r="A197">
        <v>10196</v>
      </c>
      <c r="B197" t="s">
        <v>988</v>
      </c>
      <c r="C197" t="s">
        <v>370</v>
      </c>
      <c r="D197" t="s">
        <v>371</v>
      </c>
      <c r="E197" t="s">
        <v>31</v>
      </c>
      <c r="F197" t="s">
        <v>14</v>
      </c>
      <c r="G197" t="s">
        <v>15</v>
      </c>
      <c r="H197" t="s">
        <v>27</v>
      </c>
      <c r="I197" t="s">
        <v>28</v>
      </c>
      <c r="J197">
        <v>3</v>
      </c>
      <c r="K197">
        <v>2086.54</v>
      </c>
      <c r="L197">
        <v>276.95</v>
      </c>
    </row>
    <row r="198" spans="1:12" x14ac:dyDescent="0.25">
      <c r="A198">
        <v>10197</v>
      </c>
      <c r="B198" t="s">
        <v>988</v>
      </c>
      <c r="C198" t="s">
        <v>372</v>
      </c>
      <c r="D198" t="s">
        <v>373</v>
      </c>
      <c r="E198" t="s">
        <v>31</v>
      </c>
      <c r="F198" t="s">
        <v>14</v>
      </c>
      <c r="G198" t="s">
        <v>37</v>
      </c>
      <c r="H198" t="s">
        <v>27</v>
      </c>
      <c r="I198" t="s">
        <v>104</v>
      </c>
      <c r="J198">
        <v>4</v>
      </c>
      <c r="K198">
        <v>4791.07</v>
      </c>
      <c r="L198">
        <v>766.81</v>
      </c>
    </row>
    <row r="199" spans="1:12" x14ac:dyDescent="0.25">
      <c r="A199">
        <v>10198</v>
      </c>
      <c r="B199" t="s">
        <v>988</v>
      </c>
      <c r="C199" t="s">
        <v>374</v>
      </c>
      <c r="D199" t="s">
        <v>375</v>
      </c>
      <c r="E199" t="s">
        <v>13</v>
      </c>
      <c r="F199" t="s">
        <v>20</v>
      </c>
      <c r="G199" t="s">
        <v>21</v>
      </c>
      <c r="H199" t="s">
        <v>22</v>
      </c>
      <c r="I199" t="s">
        <v>23</v>
      </c>
      <c r="J199">
        <v>8</v>
      </c>
      <c r="K199">
        <v>2688.05</v>
      </c>
      <c r="L199">
        <v>285.8</v>
      </c>
    </row>
    <row r="200" spans="1:12" x14ac:dyDescent="0.25">
      <c r="A200">
        <v>10199</v>
      </c>
      <c r="B200" t="s">
        <v>988</v>
      </c>
      <c r="C200" t="s">
        <v>52</v>
      </c>
      <c r="D200" t="s">
        <v>376</v>
      </c>
      <c r="E200" t="s">
        <v>31</v>
      </c>
      <c r="F200" t="s">
        <v>46</v>
      </c>
      <c r="G200" t="s">
        <v>71</v>
      </c>
      <c r="H200" t="s">
        <v>22</v>
      </c>
      <c r="I200" t="s">
        <v>38</v>
      </c>
      <c r="J200">
        <v>8</v>
      </c>
      <c r="K200">
        <v>669.58</v>
      </c>
      <c r="L200">
        <v>9.5500000000000007</v>
      </c>
    </row>
    <row r="201" spans="1:12" x14ac:dyDescent="0.25">
      <c r="A201">
        <v>10200</v>
      </c>
      <c r="B201" t="s">
        <v>988</v>
      </c>
      <c r="C201" t="s">
        <v>346</v>
      </c>
      <c r="D201" t="s">
        <v>377</v>
      </c>
      <c r="E201" t="s">
        <v>26</v>
      </c>
      <c r="F201" t="s">
        <v>14</v>
      </c>
      <c r="G201" t="s">
        <v>37</v>
      </c>
      <c r="H201" t="s">
        <v>22</v>
      </c>
      <c r="I201" t="s">
        <v>34</v>
      </c>
      <c r="J201">
        <v>8</v>
      </c>
      <c r="K201">
        <v>2863.16</v>
      </c>
      <c r="L201">
        <v>475.86</v>
      </c>
    </row>
    <row r="202" spans="1:12" x14ac:dyDescent="0.25">
      <c r="A202">
        <v>10201</v>
      </c>
      <c r="B202" t="s">
        <v>988</v>
      </c>
      <c r="C202" t="s">
        <v>378</v>
      </c>
      <c r="D202" t="s">
        <v>379</v>
      </c>
      <c r="E202" t="s">
        <v>31</v>
      </c>
      <c r="F202" t="s">
        <v>20</v>
      </c>
      <c r="G202" t="s">
        <v>76</v>
      </c>
      <c r="H202" t="s">
        <v>22</v>
      </c>
      <c r="I202" t="s">
        <v>48</v>
      </c>
      <c r="J202">
        <v>2</v>
      </c>
      <c r="K202">
        <v>321.92</v>
      </c>
      <c r="L202">
        <v>37.450000000000003</v>
      </c>
    </row>
    <row r="203" spans="1:12" x14ac:dyDescent="0.25">
      <c r="A203">
        <v>10202</v>
      </c>
      <c r="B203" t="s">
        <v>988</v>
      </c>
      <c r="C203" t="s">
        <v>152</v>
      </c>
      <c r="D203" t="s">
        <v>380</v>
      </c>
      <c r="E203" t="s">
        <v>31</v>
      </c>
      <c r="F203" t="s">
        <v>14</v>
      </c>
      <c r="G203" t="s">
        <v>37</v>
      </c>
      <c r="H203" t="s">
        <v>27</v>
      </c>
      <c r="I203" t="s">
        <v>104</v>
      </c>
      <c r="J203">
        <v>3</v>
      </c>
      <c r="K203">
        <v>3852.56</v>
      </c>
      <c r="L203">
        <v>1070.31</v>
      </c>
    </row>
    <row r="204" spans="1:12" x14ac:dyDescent="0.25">
      <c r="A204">
        <v>10203</v>
      </c>
      <c r="B204" t="s">
        <v>988</v>
      </c>
      <c r="C204" t="s">
        <v>114</v>
      </c>
      <c r="D204" t="s">
        <v>381</v>
      </c>
      <c r="E204" t="s">
        <v>13</v>
      </c>
      <c r="F204" t="s">
        <v>20</v>
      </c>
      <c r="G204" t="s">
        <v>76</v>
      </c>
      <c r="H204" t="s">
        <v>27</v>
      </c>
      <c r="I204" t="s">
        <v>118</v>
      </c>
      <c r="J204">
        <v>3</v>
      </c>
      <c r="K204">
        <v>3302.32</v>
      </c>
      <c r="L204">
        <v>434.38</v>
      </c>
    </row>
    <row r="205" spans="1:12" x14ac:dyDescent="0.25">
      <c r="A205">
        <v>10204</v>
      </c>
      <c r="B205" t="s">
        <v>988</v>
      </c>
      <c r="C205" t="s">
        <v>144</v>
      </c>
      <c r="D205" t="s">
        <v>382</v>
      </c>
      <c r="E205" t="s">
        <v>26</v>
      </c>
      <c r="F205" t="s">
        <v>46</v>
      </c>
      <c r="G205" t="s">
        <v>71</v>
      </c>
      <c r="H205" t="s">
        <v>22</v>
      </c>
      <c r="I205" t="s">
        <v>23</v>
      </c>
      <c r="J205">
        <v>5</v>
      </c>
      <c r="K205">
        <v>2368.7199999999998</v>
      </c>
      <c r="L205">
        <v>501.86</v>
      </c>
    </row>
    <row r="206" spans="1:12" x14ac:dyDescent="0.25">
      <c r="A206">
        <v>10205</v>
      </c>
      <c r="B206" t="s">
        <v>988</v>
      </c>
      <c r="C206" t="s">
        <v>383</v>
      </c>
      <c r="D206" t="s">
        <v>384</v>
      </c>
      <c r="E206" t="s">
        <v>13</v>
      </c>
      <c r="F206" t="s">
        <v>46</v>
      </c>
      <c r="G206" t="s">
        <v>47</v>
      </c>
      <c r="H206" t="s">
        <v>27</v>
      </c>
      <c r="I206" t="s">
        <v>104</v>
      </c>
      <c r="J206">
        <v>5</v>
      </c>
      <c r="K206">
        <v>1023.55</v>
      </c>
      <c r="L206">
        <v>198.58</v>
      </c>
    </row>
    <row r="207" spans="1:12" x14ac:dyDescent="0.25">
      <c r="A207">
        <v>10206</v>
      </c>
      <c r="B207" t="s">
        <v>988</v>
      </c>
      <c r="C207" t="s">
        <v>370</v>
      </c>
      <c r="D207" t="s">
        <v>385</v>
      </c>
      <c r="E207" t="s">
        <v>26</v>
      </c>
      <c r="F207" t="s">
        <v>20</v>
      </c>
      <c r="G207" t="s">
        <v>21</v>
      </c>
      <c r="H207" t="s">
        <v>22</v>
      </c>
      <c r="I207" t="s">
        <v>48</v>
      </c>
      <c r="J207">
        <v>2</v>
      </c>
      <c r="K207">
        <v>594.39</v>
      </c>
      <c r="L207">
        <v>-25.07</v>
      </c>
    </row>
    <row r="208" spans="1:12" x14ac:dyDescent="0.25">
      <c r="A208">
        <v>10207</v>
      </c>
      <c r="B208" t="s">
        <v>988</v>
      </c>
      <c r="C208" t="s">
        <v>49</v>
      </c>
      <c r="D208" t="s">
        <v>386</v>
      </c>
      <c r="E208" t="s">
        <v>31</v>
      </c>
      <c r="F208" t="s">
        <v>46</v>
      </c>
      <c r="G208" t="s">
        <v>71</v>
      </c>
      <c r="H208" t="s">
        <v>27</v>
      </c>
      <c r="I208" t="s">
        <v>77</v>
      </c>
      <c r="J208">
        <v>4</v>
      </c>
      <c r="K208">
        <v>2744.82</v>
      </c>
      <c r="L208">
        <v>577.29999999999995</v>
      </c>
    </row>
    <row r="209" spans="1:12" x14ac:dyDescent="0.25">
      <c r="A209">
        <v>10208</v>
      </c>
      <c r="B209" t="s">
        <v>988</v>
      </c>
      <c r="C209" t="s">
        <v>290</v>
      </c>
      <c r="D209" t="s">
        <v>387</v>
      </c>
      <c r="E209" t="s">
        <v>31</v>
      </c>
      <c r="F209" t="s">
        <v>46</v>
      </c>
      <c r="G209" t="s">
        <v>47</v>
      </c>
      <c r="H209" t="s">
        <v>16</v>
      </c>
      <c r="I209" t="s">
        <v>17</v>
      </c>
      <c r="J209">
        <v>4</v>
      </c>
      <c r="K209">
        <v>1578.65</v>
      </c>
      <c r="L209">
        <v>69.45</v>
      </c>
    </row>
    <row r="210" spans="1:12" x14ac:dyDescent="0.25">
      <c r="A210">
        <v>10209</v>
      </c>
      <c r="B210" t="s">
        <v>988</v>
      </c>
      <c r="C210" t="s">
        <v>388</v>
      </c>
      <c r="D210" t="s">
        <v>389</v>
      </c>
      <c r="E210" t="s">
        <v>31</v>
      </c>
      <c r="F210" t="s">
        <v>32</v>
      </c>
      <c r="G210" t="s">
        <v>33</v>
      </c>
      <c r="H210" t="s">
        <v>16</v>
      </c>
      <c r="I210" t="s">
        <v>43</v>
      </c>
      <c r="J210">
        <v>7</v>
      </c>
      <c r="K210">
        <v>2823.67</v>
      </c>
      <c r="L210">
        <v>139.84</v>
      </c>
    </row>
    <row r="211" spans="1:12" x14ac:dyDescent="0.25">
      <c r="A211">
        <v>10210</v>
      </c>
      <c r="B211" t="s">
        <v>988</v>
      </c>
      <c r="C211" t="s">
        <v>225</v>
      </c>
      <c r="D211" t="s">
        <v>390</v>
      </c>
      <c r="E211" t="s">
        <v>13</v>
      </c>
      <c r="F211" t="s">
        <v>32</v>
      </c>
      <c r="G211" t="s">
        <v>54</v>
      </c>
      <c r="H211" t="s">
        <v>27</v>
      </c>
      <c r="I211" t="s">
        <v>104</v>
      </c>
      <c r="J211">
        <v>5</v>
      </c>
      <c r="K211">
        <v>1944.65</v>
      </c>
      <c r="L211">
        <v>416.65</v>
      </c>
    </row>
    <row r="212" spans="1:12" x14ac:dyDescent="0.25">
      <c r="A212">
        <v>10211</v>
      </c>
      <c r="B212" t="s">
        <v>988</v>
      </c>
      <c r="C212" t="s">
        <v>391</v>
      </c>
      <c r="D212" t="s">
        <v>135</v>
      </c>
      <c r="E212" t="s">
        <v>13</v>
      </c>
      <c r="F212" t="s">
        <v>46</v>
      </c>
      <c r="G212" t="s">
        <v>47</v>
      </c>
      <c r="H212" t="s">
        <v>22</v>
      </c>
      <c r="I212" t="s">
        <v>34</v>
      </c>
      <c r="J212">
        <v>7</v>
      </c>
      <c r="K212">
        <v>2830.71</v>
      </c>
      <c r="L212">
        <v>212.14</v>
      </c>
    </row>
    <row r="213" spans="1:12" x14ac:dyDescent="0.25">
      <c r="A213">
        <v>10212</v>
      </c>
      <c r="B213" t="s">
        <v>988</v>
      </c>
      <c r="C213" t="s">
        <v>102</v>
      </c>
      <c r="D213" t="s">
        <v>392</v>
      </c>
      <c r="E213" t="s">
        <v>26</v>
      </c>
      <c r="F213" t="s">
        <v>14</v>
      </c>
      <c r="G213" t="s">
        <v>37</v>
      </c>
      <c r="H213" t="s">
        <v>27</v>
      </c>
      <c r="I213" t="s">
        <v>118</v>
      </c>
      <c r="J213">
        <v>4</v>
      </c>
      <c r="K213">
        <v>352.53</v>
      </c>
      <c r="L213">
        <v>-9.6300000000000008</v>
      </c>
    </row>
    <row r="214" spans="1:12" x14ac:dyDescent="0.25">
      <c r="A214">
        <v>10213</v>
      </c>
      <c r="B214" t="s">
        <v>988</v>
      </c>
      <c r="C214" t="s">
        <v>393</v>
      </c>
      <c r="D214" t="s">
        <v>394</v>
      </c>
      <c r="E214" t="s">
        <v>26</v>
      </c>
      <c r="F214" t="s">
        <v>46</v>
      </c>
      <c r="G214" t="s">
        <v>71</v>
      </c>
      <c r="H214" t="s">
        <v>27</v>
      </c>
      <c r="I214" t="s">
        <v>104</v>
      </c>
      <c r="J214">
        <v>6</v>
      </c>
      <c r="K214">
        <v>1585.62</v>
      </c>
      <c r="L214">
        <v>418.43</v>
      </c>
    </row>
    <row r="215" spans="1:12" x14ac:dyDescent="0.25">
      <c r="A215">
        <v>10214</v>
      </c>
      <c r="B215" t="s">
        <v>988</v>
      </c>
      <c r="C215" t="s">
        <v>144</v>
      </c>
      <c r="D215" t="s">
        <v>395</v>
      </c>
      <c r="E215" t="s">
        <v>13</v>
      </c>
      <c r="F215" t="s">
        <v>20</v>
      </c>
      <c r="G215" t="s">
        <v>21</v>
      </c>
      <c r="H215" t="s">
        <v>16</v>
      </c>
      <c r="I215" t="s">
        <v>43</v>
      </c>
      <c r="J215">
        <v>7</v>
      </c>
      <c r="K215">
        <v>4584.12</v>
      </c>
      <c r="L215">
        <v>784.35</v>
      </c>
    </row>
    <row r="216" spans="1:12" x14ac:dyDescent="0.25">
      <c r="A216">
        <v>10215</v>
      </c>
      <c r="B216" t="s">
        <v>988</v>
      </c>
      <c r="C216" t="s">
        <v>334</v>
      </c>
      <c r="D216" t="s">
        <v>350</v>
      </c>
      <c r="E216" t="s">
        <v>31</v>
      </c>
      <c r="F216" t="s">
        <v>32</v>
      </c>
      <c r="G216" t="s">
        <v>54</v>
      </c>
      <c r="H216" t="s">
        <v>27</v>
      </c>
      <c r="I216" t="s">
        <v>28</v>
      </c>
      <c r="J216">
        <v>8</v>
      </c>
      <c r="K216">
        <v>2383.42</v>
      </c>
      <c r="L216">
        <v>525.29</v>
      </c>
    </row>
    <row r="217" spans="1:12" x14ac:dyDescent="0.25">
      <c r="A217">
        <v>10216</v>
      </c>
      <c r="B217" t="s">
        <v>988</v>
      </c>
      <c r="C217" t="s">
        <v>396</v>
      </c>
      <c r="D217" t="s">
        <v>397</v>
      </c>
      <c r="E217" t="s">
        <v>26</v>
      </c>
      <c r="F217" t="s">
        <v>32</v>
      </c>
      <c r="G217" t="s">
        <v>54</v>
      </c>
      <c r="H217" t="s">
        <v>22</v>
      </c>
      <c r="I217" t="s">
        <v>48</v>
      </c>
      <c r="J217">
        <v>3</v>
      </c>
      <c r="K217">
        <v>179.48</v>
      </c>
      <c r="L217">
        <v>-24.6</v>
      </c>
    </row>
    <row r="218" spans="1:12" x14ac:dyDescent="0.25">
      <c r="A218">
        <v>10217</v>
      </c>
      <c r="B218" t="s">
        <v>988</v>
      </c>
      <c r="C218" t="s">
        <v>398</v>
      </c>
      <c r="D218" t="s">
        <v>175</v>
      </c>
      <c r="E218" t="s">
        <v>31</v>
      </c>
      <c r="F218" t="s">
        <v>46</v>
      </c>
      <c r="G218" t="s">
        <v>47</v>
      </c>
      <c r="H218" t="s">
        <v>22</v>
      </c>
      <c r="I218" t="s">
        <v>34</v>
      </c>
      <c r="J218">
        <v>4</v>
      </c>
      <c r="K218">
        <v>2546.58</v>
      </c>
      <c r="L218">
        <v>475.6</v>
      </c>
    </row>
    <row r="219" spans="1:12" x14ac:dyDescent="0.25">
      <c r="A219">
        <v>10218</v>
      </c>
      <c r="B219" t="s">
        <v>988</v>
      </c>
      <c r="C219" t="s">
        <v>84</v>
      </c>
      <c r="D219" t="s">
        <v>399</v>
      </c>
      <c r="E219" t="s">
        <v>26</v>
      </c>
      <c r="F219" t="s">
        <v>20</v>
      </c>
      <c r="G219" t="s">
        <v>76</v>
      </c>
      <c r="H219" t="s">
        <v>22</v>
      </c>
      <c r="I219" t="s">
        <v>38</v>
      </c>
      <c r="J219">
        <v>3</v>
      </c>
      <c r="K219">
        <v>785.8</v>
      </c>
      <c r="L219">
        <v>128.25</v>
      </c>
    </row>
    <row r="220" spans="1:12" x14ac:dyDescent="0.25">
      <c r="A220">
        <v>10219</v>
      </c>
      <c r="B220" t="s">
        <v>988</v>
      </c>
      <c r="C220" t="s">
        <v>400</v>
      </c>
      <c r="D220" t="s">
        <v>401</v>
      </c>
      <c r="E220" t="s">
        <v>26</v>
      </c>
      <c r="F220" t="s">
        <v>14</v>
      </c>
      <c r="G220" t="s">
        <v>15</v>
      </c>
      <c r="H220" t="s">
        <v>16</v>
      </c>
      <c r="I220" t="s">
        <v>81</v>
      </c>
      <c r="J220">
        <v>1</v>
      </c>
      <c r="K220">
        <v>2120.7199999999998</v>
      </c>
      <c r="L220">
        <v>529.59</v>
      </c>
    </row>
    <row r="221" spans="1:12" x14ac:dyDescent="0.25">
      <c r="A221">
        <v>10220</v>
      </c>
      <c r="B221" t="s">
        <v>988</v>
      </c>
      <c r="C221" t="s">
        <v>187</v>
      </c>
      <c r="D221" t="s">
        <v>402</v>
      </c>
      <c r="E221" t="s">
        <v>26</v>
      </c>
      <c r="F221" t="s">
        <v>46</v>
      </c>
      <c r="G221" t="s">
        <v>47</v>
      </c>
      <c r="H221" t="s">
        <v>27</v>
      </c>
      <c r="I221" t="s">
        <v>118</v>
      </c>
      <c r="J221">
        <v>8</v>
      </c>
      <c r="K221">
        <v>3330.49</v>
      </c>
      <c r="L221">
        <v>126.4</v>
      </c>
    </row>
    <row r="222" spans="1:12" x14ac:dyDescent="0.25">
      <c r="A222">
        <v>10221</v>
      </c>
      <c r="B222" t="s">
        <v>988</v>
      </c>
      <c r="C222" t="s">
        <v>403</v>
      </c>
      <c r="D222" t="s">
        <v>404</v>
      </c>
      <c r="E222" t="s">
        <v>13</v>
      </c>
      <c r="F222" t="s">
        <v>32</v>
      </c>
      <c r="G222" t="s">
        <v>54</v>
      </c>
      <c r="H222" t="s">
        <v>22</v>
      </c>
      <c r="I222" t="s">
        <v>34</v>
      </c>
      <c r="J222">
        <v>3</v>
      </c>
      <c r="K222">
        <v>624.38</v>
      </c>
      <c r="L222">
        <v>31.36</v>
      </c>
    </row>
    <row r="223" spans="1:12" x14ac:dyDescent="0.25">
      <c r="A223">
        <v>10222</v>
      </c>
      <c r="B223" t="s">
        <v>988</v>
      </c>
      <c r="C223" t="s">
        <v>151</v>
      </c>
      <c r="D223" t="s">
        <v>252</v>
      </c>
      <c r="E223" t="s">
        <v>31</v>
      </c>
      <c r="F223" t="s">
        <v>32</v>
      </c>
      <c r="G223" t="s">
        <v>54</v>
      </c>
      <c r="H223" t="s">
        <v>27</v>
      </c>
      <c r="I223" t="s">
        <v>77</v>
      </c>
      <c r="J223">
        <v>2</v>
      </c>
      <c r="K223">
        <v>1927.95</v>
      </c>
      <c r="L223">
        <v>235.6</v>
      </c>
    </row>
    <row r="224" spans="1:12" x14ac:dyDescent="0.25">
      <c r="A224">
        <v>10223</v>
      </c>
      <c r="B224" t="s">
        <v>988</v>
      </c>
      <c r="C224" t="s">
        <v>405</v>
      </c>
      <c r="D224" t="s">
        <v>406</v>
      </c>
      <c r="E224" t="s">
        <v>26</v>
      </c>
      <c r="F224" t="s">
        <v>14</v>
      </c>
      <c r="G224" t="s">
        <v>15</v>
      </c>
      <c r="H224" t="s">
        <v>22</v>
      </c>
      <c r="I224" t="s">
        <v>34</v>
      </c>
      <c r="J224">
        <v>7</v>
      </c>
      <c r="K224">
        <v>1948.13</v>
      </c>
      <c r="L224">
        <v>265.56</v>
      </c>
    </row>
    <row r="225" spans="1:12" x14ac:dyDescent="0.25">
      <c r="A225">
        <v>10224</v>
      </c>
      <c r="B225" t="s">
        <v>988</v>
      </c>
      <c r="C225" t="s">
        <v>407</v>
      </c>
      <c r="D225" t="s">
        <v>408</v>
      </c>
      <c r="E225" t="s">
        <v>31</v>
      </c>
      <c r="F225" t="s">
        <v>20</v>
      </c>
      <c r="G225" t="s">
        <v>76</v>
      </c>
      <c r="H225" t="s">
        <v>16</v>
      </c>
      <c r="I225" t="s">
        <v>17</v>
      </c>
      <c r="J225">
        <v>2</v>
      </c>
      <c r="K225">
        <v>4484.4799999999996</v>
      </c>
      <c r="L225">
        <v>1231.73</v>
      </c>
    </row>
    <row r="226" spans="1:12" x14ac:dyDescent="0.25">
      <c r="A226">
        <v>10225</v>
      </c>
      <c r="B226" t="s">
        <v>988</v>
      </c>
      <c r="C226" t="s">
        <v>409</v>
      </c>
      <c r="D226" t="s">
        <v>184</v>
      </c>
      <c r="E226" t="s">
        <v>26</v>
      </c>
      <c r="F226" t="s">
        <v>32</v>
      </c>
      <c r="G226" t="s">
        <v>33</v>
      </c>
      <c r="H226" t="s">
        <v>22</v>
      </c>
      <c r="I226" t="s">
        <v>38</v>
      </c>
      <c r="J226">
        <v>1</v>
      </c>
      <c r="K226">
        <v>978.84</v>
      </c>
      <c r="L226">
        <v>255.48</v>
      </c>
    </row>
    <row r="227" spans="1:12" x14ac:dyDescent="0.25">
      <c r="A227">
        <v>10226</v>
      </c>
      <c r="B227" t="s">
        <v>988</v>
      </c>
      <c r="C227" t="s">
        <v>410</v>
      </c>
      <c r="D227" t="s">
        <v>111</v>
      </c>
      <c r="E227" t="s">
        <v>31</v>
      </c>
      <c r="F227" t="s">
        <v>20</v>
      </c>
      <c r="G227" t="s">
        <v>21</v>
      </c>
      <c r="H227" t="s">
        <v>27</v>
      </c>
      <c r="I227" t="s">
        <v>104</v>
      </c>
      <c r="J227">
        <v>4</v>
      </c>
      <c r="K227">
        <v>2876.81</v>
      </c>
      <c r="L227">
        <v>687.06</v>
      </c>
    </row>
    <row r="228" spans="1:12" x14ac:dyDescent="0.25">
      <c r="A228">
        <v>10227</v>
      </c>
      <c r="B228" t="s">
        <v>988</v>
      </c>
      <c r="C228" t="s">
        <v>411</v>
      </c>
      <c r="D228" t="s">
        <v>412</v>
      </c>
      <c r="E228" t="s">
        <v>13</v>
      </c>
      <c r="F228" t="s">
        <v>46</v>
      </c>
      <c r="G228" t="s">
        <v>71</v>
      </c>
      <c r="H228" t="s">
        <v>16</v>
      </c>
      <c r="I228" t="s">
        <v>17</v>
      </c>
      <c r="J228">
        <v>1</v>
      </c>
      <c r="K228">
        <v>578.66</v>
      </c>
      <c r="L228">
        <v>54.91</v>
      </c>
    </row>
    <row r="229" spans="1:12" x14ac:dyDescent="0.25">
      <c r="A229">
        <v>10228</v>
      </c>
      <c r="B229" t="s">
        <v>988</v>
      </c>
      <c r="C229" t="s">
        <v>413</v>
      </c>
      <c r="D229" t="s">
        <v>414</v>
      </c>
      <c r="E229" t="s">
        <v>13</v>
      </c>
      <c r="F229" t="s">
        <v>20</v>
      </c>
      <c r="G229" t="s">
        <v>76</v>
      </c>
      <c r="H229" t="s">
        <v>22</v>
      </c>
      <c r="I229" t="s">
        <v>38</v>
      </c>
      <c r="J229">
        <v>8</v>
      </c>
      <c r="K229">
        <v>2503.96</v>
      </c>
      <c r="L229">
        <v>253.82</v>
      </c>
    </row>
    <row r="230" spans="1:12" x14ac:dyDescent="0.25">
      <c r="A230">
        <v>10229</v>
      </c>
      <c r="B230" t="s">
        <v>988</v>
      </c>
      <c r="C230" t="s">
        <v>415</v>
      </c>
      <c r="D230" t="s">
        <v>416</v>
      </c>
      <c r="E230" t="s">
        <v>13</v>
      </c>
      <c r="F230" t="s">
        <v>20</v>
      </c>
      <c r="G230" t="s">
        <v>21</v>
      </c>
      <c r="H230" t="s">
        <v>16</v>
      </c>
      <c r="I230" t="s">
        <v>17</v>
      </c>
      <c r="J230">
        <v>4</v>
      </c>
      <c r="K230">
        <v>3594.23</v>
      </c>
      <c r="L230">
        <v>238.01</v>
      </c>
    </row>
    <row r="231" spans="1:12" x14ac:dyDescent="0.25">
      <c r="A231">
        <v>10230</v>
      </c>
      <c r="B231" t="s">
        <v>988</v>
      </c>
      <c r="C231" t="s">
        <v>154</v>
      </c>
      <c r="D231" t="s">
        <v>417</v>
      </c>
      <c r="E231" t="s">
        <v>26</v>
      </c>
      <c r="F231" t="s">
        <v>46</v>
      </c>
      <c r="G231" t="s">
        <v>47</v>
      </c>
      <c r="H231" t="s">
        <v>27</v>
      </c>
      <c r="I231" t="s">
        <v>28</v>
      </c>
      <c r="J231">
        <v>2</v>
      </c>
      <c r="K231">
        <v>548.45000000000005</v>
      </c>
      <c r="L231">
        <v>112.24</v>
      </c>
    </row>
    <row r="232" spans="1:12" x14ac:dyDescent="0.25">
      <c r="A232">
        <v>10231</v>
      </c>
      <c r="B232" t="s">
        <v>988</v>
      </c>
      <c r="C232" t="s">
        <v>418</v>
      </c>
      <c r="D232" t="s">
        <v>419</v>
      </c>
      <c r="E232" t="s">
        <v>31</v>
      </c>
      <c r="F232" t="s">
        <v>14</v>
      </c>
      <c r="G232" t="s">
        <v>15</v>
      </c>
      <c r="H232" t="s">
        <v>27</v>
      </c>
      <c r="I232" t="s">
        <v>77</v>
      </c>
      <c r="J232">
        <v>7</v>
      </c>
      <c r="K232">
        <v>606.14</v>
      </c>
      <c r="L232">
        <v>-11.53</v>
      </c>
    </row>
    <row r="233" spans="1:12" x14ac:dyDescent="0.25">
      <c r="A233">
        <v>10232</v>
      </c>
      <c r="B233" t="s">
        <v>988</v>
      </c>
      <c r="C233" t="s">
        <v>357</v>
      </c>
      <c r="D233" t="s">
        <v>420</v>
      </c>
      <c r="E233" t="s">
        <v>13</v>
      </c>
      <c r="F233" t="s">
        <v>20</v>
      </c>
      <c r="G233" t="s">
        <v>21</v>
      </c>
      <c r="H233" t="s">
        <v>27</v>
      </c>
      <c r="I233" t="s">
        <v>77</v>
      </c>
      <c r="J233">
        <v>7</v>
      </c>
      <c r="K233">
        <v>3917.93</v>
      </c>
      <c r="L233">
        <v>849.91</v>
      </c>
    </row>
    <row r="234" spans="1:12" x14ac:dyDescent="0.25">
      <c r="A234">
        <v>10233</v>
      </c>
      <c r="B234" t="s">
        <v>988</v>
      </c>
      <c r="C234" t="s">
        <v>421</v>
      </c>
      <c r="D234" t="s">
        <v>422</v>
      </c>
      <c r="E234" t="s">
        <v>31</v>
      </c>
      <c r="F234" t="s">
        <v>46</v>
      </c>
      <c r="G234" t="s">
        <v>47</v>
      </c>
      <c r="H234" t="s">
        <v>22</v>
      </c>
      <c r="I234" t="s">
        <v>48</v>
      </c>
      <c r="J234">
        <v>5</v>
      </c>
      <c r="K234">
        <v>1575.54</v>
      </c>
      <c r="L234">
        <v>266.68</v>
      </c>
    </row>
    <row r="235" spans="1:12" x14ac:dyDescent="0.25">
      <c r="A235">
        <v>10234</v>
      </c>
      <c r="B235" t="s">
        <v>988</v>
      </c>
      <c r="C235" t="s">
        <v>336</v>
      </c>
      <c r="D235" t="s">
        <v>423</v>
      </c>
      <c r="E235" t="s">
        <v>31</v>
      </c>
      <c r="F235" t="s">
        <v>32</v>
      </c>
      <c r="G235" t="s">
        <v>54</v>
      </c>
      <c r="H235" t="s">
        <v>22</v>
      </c>
      <c r="I235" t="s">
        <v>38</v>
      </c>
      <c r="J235">
        <v>5</v>
      </c>
      <c r="K235">
        <v>4726.6899999999996</v>
      </c>
      <c r="L235">
        <v>1038.6199999999999</v>
      </c>
    </row>
    <row r="236" spans="1:12" x14ac:dyDescent="0.25">
      <c r="A236">
        <v>10235</v>
      </c>
      <c r="B236" t="s">
        <v>988</v>
      </c>
      <c r="C236" t="s">
        <v>248</v>
      </c>
      <c r="D236" t="s">
        <v>424</v>
      </c>
      <c r="E236" t="s">
        <v>31</v>
      </c>
      <c r="F236" t="s">
        <v>14</v>
      </c>
      <c r="G236" t="s">
        <v>15</v>
      </c>
      <c r="H236" t="s">
        <v>27</v>
      </c>
      <c r="I236" t="s">
        <v>118</v>
      </c>
      <c r="J236">
        <v>7</v>
      </c>
      <c r="K236">
        <v>1727.86</v>
      </c>
      <c r="L236">
        <v>273.89</v>
      </c>
    </row>
    <row r="237" spans="1:12" x14ac:dyDescent="0.25">
      <c r="A237">
        <v>10236</v>
      </c>
      <c r="B237" t="s">
        <v>988</v>
      </c>
      <c r="C237" t="s">
        <v>334</v>
      </c>
      <c r="D237" t="s">
        <v>425</v>
      </c>
      <c r="E237" t="s">
        <v>13</v>
      </c>
      <c r="F237" t="s">
        <v>20</v>
      </c>
      <c r="G237" t="s">
        <v>21</v>
      </c>
      <c r="H237" t="s">
        <v>27</v>
      </c>
      <c r="I237" t="s">
        <v>28</v>
      </c>
      <c r="J237">
        <v>4</v>
      </c>
      <c r="K237">
        <v>2447.15</v>
      </c>
      <c r="L237">
        <v>191.21</v>
      </c>
    </row>
    <row r="238" spans="1:12" x14ac:dyDescent="0.25">
      <c r="A238">
        <v>10237</v>
      </c>
      <c r="B238" t="s">
        <v>988</v>
      </c>
      <c r="C238" t="s">
        <v>426</v>
      </c>
      <c r="D238" t="s">
        <v>427</v>
      </c>
      <c r="E238" t="s">
        <v>13</v>
      </c>
      <c r="F238" t="s">
        <v>20</v>
      </c>
      <c r="G238" t="s">
        <v>21</v>
      </c>
      <c r="H238" t="s">
        <v>27</v>
      </c>
      <c r="I238" t="s">
        <v>77</v>
      </c>
      <c r="J238">
        <v>5</v>
      </c>
      <c r="K238">
        <v>4100.82</v>
      </c>
      <c r="L238">
        <v>596.49</v>
      </c>
    </row>
    <row r="239" spans="1:12" x14ac:dyDescent="0.25">
      <c r="A239">
        <v>10238</v>
      </c>
      <c r="B239" t="s">
        <v>988</v>
      </c>
      <c r="C239" t="s">
        <v>176</v>
      </c>
      <c r="D239" t="s">
        <v>428</v>
      </c>
      <c r="E239" t="s">
        <v>31</v>
      </c>
      <c r="F239" t="s">
        <v>46</v>
      </c>
      <c r="G239" t="s">
        <v>71</v>
      </c>
      <c r="H239" t="s">
        <v>16</v>
      </c>
      <c r="I239" t="s">
        <v>51</v>
      </c>
      <c r="J239">
        <v>4</v>
      </c>
      <c r="K239">
        <v>2248.4299999999998</v>
      </c>
      <c r="L239">
        <v>206.9</v>
      </c>
    </row>
    <row r="240" spans="1:12" x14ac:dyDescent="0.25">
      <c r="A240">
        <v>10239</v>
      </c>
      <c r="B240" t="s">
        <v>988</v>
      </c>
      <c r="C240" t="s">
        <v>429</v>
      </c>
      <c r="D240" t="s">
        <v>430</v>
      </c>
      <c r="E240" t="s">
        <v>13</v>
      </c>
      <c r="F240" t="s">
        <v>46</v>
      </c>
      <c r="G240" t="s">
        <v>47</v>
      </c>
      <c r="H240" t="s">
        <v>22</v>
      </c>
      <c r="I240" t="s">
        <v>38</v>
      </c>
      <c r="J240">
        <v>3</v>
      </c>
      <c r="K240">
        <v>3604.66</v>
      </c>
      <c r="L240">
        <v>883.92</v>
      </c>
    </row>
    <row r="241" spans="1:12" x14ac:dyDescent="0.25">
      <c r="A241">
        <v>10240</v>
      </c>
      <c r="B241" t="s">
        <v>988</v>
      </c>
      <c r="C241" t="s">
        <v>431</v>
      </c>
      <c r="D241" t="s">
        <v>432</v>
      </c>
      <c r="E241" t="s">
        <v>26</v>
      </c>
      <c r="F241" t="s">
        <v>20</v>
      </c>
      <c r="G241" t="s">
        <v>76</v>
      </c>
      <c r="H241" t="s">
        <v>16</v>
      </c>
      <c r="I241" t="s">
        <v>81</v>
      </c>
      <c r="J241">
        <v>6</v>
      </c>
      <c r="K241">
        <v>3538.01</v>
      </c>
      <c r="L241">
        <v>836</v>
      </c>
    </row>
    <row r="242" spans="1:12" x14ac:dyDescent="0.25">
      <c r="A242">
        <v>10241</v>
      </c>
      <c r="B242" t="s">
        <v>988</v>
      </c>
      <c r="C242" t="s">
        <v>433</v>
      </c>
      <c r="D242" t="s">
        <v>434</v>
      </c>
      <c r="E242" t="s">
        <v>26</v>
      </c>
      <c r="F242" t="s">
        <v>32</v>
      </c>
      <c r="G242" t="s">
        <v>33</v>
      </c>
      <c r="H242" t="s">
        <v>16</v>
      </c>
      <c r="I242" t="s">
        <v>81</v>
      </c>
      <c r="J242">
        <v>7</v>
      </c>
      <c r="K242">
        <v>4837.37</v>
      </c>
      <c r="L242">
        <v>563.26</v>
      </c>
    </row>
    <row r="243" spans="1:12" x14ac:dyDescent="0.25">
      <c r="A243">
        <v>10242</v>
      </c>
      <c r="B243" t="s">
        <v>988</v>
      </c>
      <c r="C243" t="s">
        <v>232</v>
      </c>
      <c r="D243" t="s">
        <v>58</v>
      </c>
      <c r="E243" t="s">
        <v>26</v>
      </c>
      <c r="F243" t="s">
        <v>32</v>
      </c>
      <c r="G243" t="s">
        <v>33</v>
      </c>
      <c r="H243" t="s">
        <v>16</v>
      </c>
      <c r="I243" t="s">
        <v>43</v>
      </c>
      <c r="J243">
        <v>8</v>
      </c>
      <c r="K243">
        <v>1933.19</v>
      </c>
      <c r="L243">
        <v>252.5</v>
      </c>
    </row>
    <row r="244" spans="1:12" x14ac:dyDescent="0.25">
      <c r="A244">
        <v>10243</v>
      </c>
      <c r="B244" t="s">
        <v>988</v>
      </c>
      <c r="C244" t="s">
        <v>435</v>
      </c>
      <c r="D244" t="s">
        <v>436</v>
      </c>
      <c r="E244" t="s">
        <v>31</v>
      </c>
      <c r="F244" t="s">
        <v>32</v>
      </c>
      <c r="G244" t="s">
        <v>33</v>
      </c>
      <c r="H244" t="s">
        <v>27</v>
      </c>
      <c r="I244" t="s">
        <v>118</v>
      </c>
      <c r="J244">
        <v>5</v>
      </c>
      <c r="K244">
        <v>2138.2800000000002</v>
      </c>
      <c r="L244">
        <v>609.41999999999996</v>
      </c>
    </row>
    <row r="245" spans="1:12" x14ac:dyDescent="0.25">
      <c r="A245">
        <v>10244</v>
      </c>
      <c r="B245" t="s">
        <v>988</v>
      </c>
      <c r="C245" t="s">
        <v>334</v>
      </c>
      <c r="D245" t="s">
        <v>437</v>
      </c>
      <c r="E245" t="s">
        <v>31</v>
      </c>
      <c r="F245" t="s">
        <v>32</v>
      </c>
      <c r="G245" t="s">
        <v>54</v>
      </c>
      <c r="H245" t="s">
        <v>22</v>
      </c>
      <c r="I245" t="s">
        <v>34</v>
      </c>
      <c r="J245">
        <v>6</v>
      </c>
      <c r="K245">
        <v>2433.1999999999998</v>
      </c>
      <c r="L245">
        <v>318.52</v>
      </c>
    </row>
    <row r="246" spans="1:12" x14ac:dyDescent="0.25">
      <c r="A246">
        <v>10245</v>
      </c>
      <c r="B246" t="s">
        <v>988</v>
      </c>
      <c r="C246" t="s">
        <v>357</v>
      </c>
      <c r="D246" t="s">
        <v>438</v>
      </c>
      <c r="E246" t="s">
        <v>26</v>
      </c>
      <c r="F246" t="s">
        <v>14</v>
      </c>
      <c r="G246" t="s">
        <v>15</v>
      </c>
      <c r="H246" t="s">
        <v>22</v>
      </c>
      <c r="I246" t="s">
        <v>38</v>
      </c>
      <c r="J246">
        <v>2</v>
      </c>
      <c r="K246">
        <v>3417.98</v>
      </c>
      <c r="L246">
        <v>212.95</v>
      </c>
    </row>
    <row r="247" spans="1:12" x14ac:dyDescent="0.25">
      <c r="A247">
        <v>10246</v>
      </c>
      <c r="B247" t="s">
        <v>988</v>
      </c>
      <c r="C247" t="s">
        <v>41</v>
      </c>
      <c r="D247" t="s">
        <v>439</v>
      </c>
      <c r="E247" t="s">
        <v>31</v>
      </c>
      <c r="F247" t="s">
        <v>46</v>
      </c>
      <c r="G247" t="s">
        <v>47</v>
      </c>
      <c r="H247" t="s">
        <v>16</v>
      </c>
      <c r="I247" t="s">
        <v>51</v>
      </c>
      <c r="J247">
        <v>8</v>
      </c>
      <c r="K247">
        <v>1236.0899999999999</v>
      </c>
      <c r="L247">
        <v>168.53</v>
      </c>
    </row>
    <row r="248" spans="1:12" x14ac:dyDescent="0.25">
      <c r="A248">
        <v>10247</v>
      </c>
      <c r="B248" t="s">
        <v>988</v>
      </c>
      <c r="C248" t="s">
        <v>440</v>
      </c>
      <c r="D248" t="s">
        <v>441</v>
      </c>
      <c r="E248" t="s">
        <v>13</v>
      </c>
      <c r="F248" t="s">
        <v>20</v>
      </c>
      <c r="G248" t="s">
        <v>21</v>
      </c>
      <c r="H248" t="s">
        <v>16</v>
      </c>
      <c r="I248" t="s">
        <v>43</v>
      </c>
      <c r="J248">
        <v>8</v>
      </c>
      <c r="K248">
        <v>3001.8</v>
      </c>
      <c r="L248">
        <v>371.42</v>
      </c>
    </row>
    <row r="249" spans="1:12" x14ac:dyDescent="0.25">
      <c r="A249">
        <v>10248</v>
      </c>
      <c r="B249" t="s">
        <v>988</v>
      </c>
      <c r="C249" t="s">
        <v>442</v>
      </c>
      <c r="D249" t="s">
        <v>295</v>
      </c>
      <c r="E249" t="s">
        <v>13</v>
      </c>
      <c r="F249" t="s">
        <v>14</v>
      </c>
      <c r="G249" t="s">
        <v>15</v>
      </c>
      <c r="H249" t="s">
        <v>16</v>
      </c>
      <c r="I249" t="s">
        <v>43</v>
      </c>
      <c r="J249">
        <v>6</v>
      </c>
      <c r="K249">
        <v>1697.33</v>
      </c>
      <c r="L249">
        <v>252.78</v>
      </c>
    </row>
    <row r="250" spans="1:12" x14ac:dyDescent="0.25">
      <c r="A250">
        <v>10249</v>
      </c>
      <c r="B250" t="s">
        <v>988</v>
      </c>
      <c r="C250" t="s">
        <v>227</v>
      </c>
      <c r="D250" t="s">
        <v>204</v>
      </c>
      <c r="E250" t="s">
        <v>31</v>
      </c>
      <c r="F250" t="s">
        <v>32</v>
      </c>
      <c r="G250" t="s">
        <v>54</v>
      </c>
      <c r="H250" t="s">
        <v>16</v>
      </c>
      <c r="I250" t="s">
        <v>51</v>
      </c>
      <c r="J250">
        <v>2</v>
      </c>
      <c r="K250">
        <v>1804.83</v>
      </c>
      <c r="L250">
        <v>410.01</v>
      </c>
    </row>
    <row r="251" spans="1:12" x14ac:dyDescent="0.25">
      <c r="A251">
        <v>10250</v>
      </c>
      <c r="B251" t="s">
        <v>988</v>
      </c>
      <c r="C251" t="s">
        <v>443</v>
      </c>
      <c r="D251" t="s">
        <v>444</v>
      </c>
      <c r="E251" t="s">
        <v>31</v>
      </c>
      <c r="F251" t="s">
        <v>14</v>
      </c>
      <c r="G251" t="s">
        <v>15</v>
      </c>
      <c r="H251" t="s">
        <v>27</v>
      </c>
      <c r="I251" t="s">
        <v>118</v>
      </c>
      <c r="J251">
        <v>4</v>
      </c>
      <c r="K251">
        <v>1596.36</v>
      </c>
      <c r="L251">
        <v>83.53</v>
      </c>
    </row>
    <row r="252" spans="1:12" x14ac:dyDescent="0.25">
      <c r="A252">
        <v>10251</v>
      </c>
      <c r="B252" t="s">
        <v>988</v>
      </c>
      <c r="C252" t="s">
        <v>317</v>
      </c>
      <c r="D252" t="s">
        <v>445</v>
      </c>
      <c r="E252" t="s">
        <v>26</v>
      </c>
      <c r="F252" t="s">
        <v>46</v>
      </c>
      <c r="G252" t="s">
        <v>47</v>
      </c>
      <c r="H252" t="s">
        <v>27</v>
      </c>
      <c r="I252" t="s">
        <v>104</v>
      </c>
      <c r="J252">
        <v>8</v>
      </c>
      <c r="K252">
        <v>3213.96</v>
      </c>
      <c r="L252">
        <v>653.34</v>
      </c>
    </row>
    <row r="253" spans="1:12" x14ac:dyDescent="0.25">
      <c r="A253">
        <v>10252</v>
      </c>
      <c r="B253" t="s">
        <v>988</v>
      </c>
      <c r="C253" t="s">
        <v>446</v>
      </c>
      <c r="D253" t="s">
        <v>447</v>
      </c>
      <c r="E253" t="s">
        <v>26</v>
      </c>
      <c r="F253" t="s">
        <v>20</v>
      </c>
      <c r="G253" t="s">
        <v>76</v>
      </c>
      <c r="H253" t="s">
        <v>22</v>
      </c>
      <c r="I253" t="s">
        <v>48</v>
      </c>
      <c r="J253">
        <v>6</v>
      </c>
      <c r="K253">
        <v>4225.7299999999996</v>
      </c>
      <c r="L253">
        <v>779.1</v>
      </c>
    </row>
    <row r="254" spans="1:12" x14ac:dyDescent="0.25">
      <c r="A254">
        <v>10253</v>
      </c>
      <c r="B254" t="s">
        <v>988</v>
      </c>
      <c r="C254" t="s">
        <v>442</v>
      </c>
      <c r="D254" t="s">
        <v>448</v>
      </c>
      <c r="E254" t="s">
        <v>26</v>
      </c>
      <c r="F254" t="s">
        <v>46</v>
      </c>
      <c r="G254" t="s">
        <v>47</v>
      </c>
      <c r="H254" t="s">
        <v>16</v>
      </c>
      <c r="I254" t="s">
        <v>51</v>
      </c>
      <c r="J254">
        <v>7</v>
      </c>
      <c r="K254">
        <v>3455.01</v>
      </c>
      <c r="L254">
        <v>447.76</v>
      </c>
    </row>
    <row r="255" spans="1:12" x14ac:dyDescent="0.25">
      <c r="A255">
        <v>10254</v>
      </c>
      <c r="B255" t="s">
        <v>988</v>
      </c>
      <c r="C255" t="s">
        <v>449</v>
      </c>
      <c r="D255" t="s">
        <v>450</v>
      </c>
      <c r="E255" t="s">
        <v>31</v>
      </c>
      <c r="F255" t="s">
        <v>14</v>
      </c>
      <c r="G255" t="s">
        <v>15</v>
      </c>
      <c r="H255" t="s">
        <v>27</v>
      </c>
      <c r="I255" t="s">
        <v>118</v>
      </c>
      <c r="J255">
        <v>5</v>
      </c>
      <c r="K255">
        <v>1201.73</v>
      </c>
      <c r="L255">
        <v>68.739999999999995</v>
      </c>
    </row>
    <row r="256" spans="1:12" x14ac:dyDescent="0.25">
      <c r="A256">
        <v>10255</v>
      </c>
      <c r="B256" t="s">
        <v>988</v>
      </c>
      <c r="C256" t="s">
        <v>451</v>
      </c>
      <c r="D256" t="s">
        <v>417</v>
      </c>
      <c r="E256" t="s">
        <v>13</v>
      </c>
      <c r="F256" t="s">
        <v>14</v>
      </c>
      <c r="G256" t="s">
        <v>15</v>
      </c>
      <c r="H256" t="s">
        <v>27</v>
      </c>
      <c r="I256" t="s">
        <v>28</v>
      </c>
      <c r="J256">
        <v>1</v>
      </c>
      <c r="K256">
        <v>3824.02</v>
      </c>
      <c r="L256">
        <v>591.29999999999995</v>
      </c>
    </row>
    <row r="257" spans="1:12" x14ac:dyDescent="0.25">
      <c r="A257">
        <v>10256</v>
      </c>
      <c r="B257" t="s">
        <v>988</v>
      </c>
      <c r="C257" t="s">
        <v>452</v>
      </c>
      <c r="D257" t="s">
        <v>453</v>
      </c>
      <c r="E257" t="s">
        <v>26</v>
      </c>
      <c r="F257" t="s">
        <v>46</v>
      </c>
      <c r="G257" t="s">
        <v>47</v>
      </c>
      <c r="H257" t="s">
        <v>22</v>
      </c>
      <c r="I257" t="s">
        <v>34</v>
      </c>
      <c r="J257">
        <v>5</v>
      </c>
      <c r="K257">
        <v>1808.03</v>
      </c>
      <c r="L257">
        <v>415.66</v>
      </c>
    </row>
    <row r="258" spans="1:12" x14ac:dyDescent="0.25">
      <c r="A258">
        <v>10257</v>
      </c>
      <c r="B258" t="s">
        <v>988</v>
      </c>
      <c r="C258" t="s">
        <v>378</v>
      </c>
      <c r="D258" t="s">
        <v>454</v>
      </c>
      <c r="E258" t="s">
        <v>31</v>
      </c>
      <c r="F258" t="s">
        <v>46</v>
      </c>
      <c r="G258" t="s">
        <v>47</v>
      </c>
      <c r="H258" t="s">
        <v>16</v>
      </c>
      <c r="I258" t="s">
        <v>51</v>
      </c>
      <c r="J258">
        <v>3</v>
      </c>
      <c r="K258">
        <v>3119.14</v>
      </c>
      <c r="L258">
        <v>686.62</v>
      </c>
    </row>
    <row r="259" spans="1:12" x14ac:dyDescent="0.25">
      <c r="A259">
        <v>10258</v>
      </c>
      <c r="B259" t="s">
        <v>988</v>
      </c>
      <c r="C259" t="s">
        <v>455</v>
      </c>
      <c r="D259" t="s">
        <v>456</v>
      </c>
      <c r="E259" t="s">
        <v>26</v>
      </c>
      <c r="F259" t="s">
        <v>32</v>
      </c>
      <c r="G259" t="s">
        <v>33</v>
      </c>
      <c r="H259" t="s">
        <v>27</v>
      </c>
      <c r="I259" t="s">
        <v>28</v>
      </c>
      <c r="J259">
        <v>5</v>
      </c>
      <c r="K259">
        <v>2906.4</v>
      </c>
      <c r="L259">
        <v>785.89</v>
      </c>
    </row>
    <row r="260" spans="1:12" x14ac:dyDescent="0.25">
      <c r="A260">
        <v>10259</v>
      </c>
      <c r="B260" t="s">
        <v>988</v>
      </c>
      <c r="C260" t="s">
        <v>457</v>
      </c>
      <c r="D260" t="s">
        <v>458</v>
      </c>
      <c r="E260" t="s">
        <v>26</v>
      </c>
      <c r="F260" t="s">
        <v>46</v>
      </c>
      <c r="G260" t="s">
        <v>47</v>
      </c>
      <c r="H260" t="s">
        <v>22</v>
      </c>
      <c r="I260" t="s">
        <v>38</v>
      </c>
      <c r="J260">
        <v>3</v>
      </c>
      <c r="K260">
        <v>3536.99</v>
      </c>
      <c r="L260">
        <v>279.56</v>
      </c>
    </row>
    <row r="261" spans="1:12" x14ac:dyDescent="0.25">
      <c r="A261">
        <v>10260</v>
      </c>
      <c r="B261" t="s">
        <v>988</v>
      </c>
      <c r="C261" t="s">
        <v>79</v>
      </c>
      <c r="D261" t="s">
        <v>459</v>
      </c>
      <c r="E261" t="s">
        <v>13</v>
      </c>
      <c r="F261" t="s">
        <v>20</v>
      </c>
      <c r="G261" t="s">
        <v>76</v>
      </c>
      <c r="H261" t="s">
        <v>22</v>
      </c>
      <c r="I261" t="s">
        <v>38</v>
      </c>
      <c r="J261">
        <v>7</v>
      </c>
      <c r="K261">
        <v>1938.34</v>
      </c>
      <c r="L261">
        <v>54.05</v>
      </c>
    </row>
    <row r="262" spans="1:12" x14ac:dyDescent="0.25">
      <c r="A262">
        <v>10261</v>
      </c>
      <c r="B262" t="s">
        <v>988</v>
      </c>
      <c r="C262" t="s">
        <v>79</v>
      </c>
      <c r="D262" t="s">
        <v>460</v>
      </c>
      <c r="E262" t="s">
        <v>31</v>
      </c>
      <c r="F262" t="s">
        <v>32</v>
      </c>
      <c r="G262" t="s">
        <v>54</v>
      </c>
      <c r="H262" t="s">
        <v>27</v>
      </c>
      <c r="I262" t="s">
        <v>77</v>
      </c>
      <c r="J262">
        <v>6</v>
      </c>
      <c r="K262">
        <v>2951.58</v>
      </c>
      <c r="L262">
        <v>704.02</v>
      </c>
    </row>
    <row r="263" spans="1:12" x14ac:dyDescent="0.25">
      <c r="A263">
        <v>10262</v>
      </c>
      <c r="B263" t="s">
        <v>988</v>
      </c>
      <c r="C263" t="s">
        <v>461</v>
      </c>
      <c r="D263" t="s">
        <v>458</v>
      </c>
      <c r="E263" t="s">
        <v>31</v>
      </c>
      <c r="F263" t="s">
        <v>32</v>
      </c>
      <c r="G263" t="s">
        <v>33</v>
      </c>
      <c r="H263" t="s">
        <v>16</v>
      </c>
      <c r="I263" t="s">
        <v>51</v>
      </c>
      <c r="J263">
        <v>4</v>
      </c>
      <c r="K263">
        <v>4843.83</v>
      </c>
      <c r="L263">
        <v>1191.58</v>
      </c>
    </row>
    <row r="264" spans="1:12" x14ac:dyDescent="0.25">
      <c r="A264">
        <v>10263</v>
      </c>
      <c r="B264" t="s">
        <v>988</v>
      </c>
      <c r="C264" t="s">
        <v>462</v>
      </c>
      <c r="D264" t="s">
        <v>416</v>
      </c>
      <c r="E264" t="s">
        <v>31</v>
      </c>
      <c r="F264" t="s">
        <v>32</v>
      </c>
      <c r="G264" t="s">
        <v>33</v>
      </c>
      <c r="H264" t="s">
        <v>16</v>
      </c>
      <c r="I264" t="s">
        <v>51</v>
      </c>
      <c r="J264">
        <v>6</v>
      </c>
      <c r="K264">
        <v>4481.3599999999997</v>
      </c>
      <c r="L264">
        <v>1073.46</v>
      </c>
    </row>
    <row r="265" spans="1:12" x14ac:dyDescent="0.25">
      <c r="A265">
        <v>10264</v>
      </c>
      <c r="B265" t="s">
        <v>988</v>
      </c>
      <c r="C265" t="s">
        <v>463</v>
      </c>
      <c r="D265" t="s">
        <v>464</v>
      </c>
      <c r="E265" t="s">
        <v>13</v>
      </c>
      <c r="F265" t="s">
        <v>14</v>
      </c>
      <c r="G265" t="s">
        <v>15</v>
      </c>
      <c r="H265" t="s">
        <v>22</v>
      </c>
      <c r="I265" t="s">
        <v>34</v>
      </c>
      <c r="J265">
        <v>8</v>
      </c>
      <c r="K265">
        <v>103.31</v>
      </c>
      <c r="L265">
        <v>9.68</v>
      </c>
    </row>
    <row r="266" spans="1:12" x14ac:dyDescent="0.25">
      <c r="A266">
        <v>10265</v>
      </c>
      <c r="B266" t="s">
        <v>988</v>
      </c>
      <c r="C266" t="s">
        <v>179</v>
      </c>
      <c r="D266" t="s">
        <v>465</v>
      </c>
      <c r="E266" t="s">
        <v>31</v>
      </c>
      <c r="F266" t="s">
        <v>32</v>
      </c>
      <c r="G266" t="s">
        <v>33</v>
      </c>
      <c r="H266" t="s">
        <v>27</v>
      </c>
      <c r="I266" t="s">
        <v>118</v>
      </c>
      <c r="J266">
        <v>6</v>
      </c>
      <c r="K266">
        <v>1326.91</v>
      </c>
      <c r="L266">
        <v>99.32</v>
      </c>
    </row>
    <row r="267" spans="1:12" x14ac:dyDescent="0.25">
      <c r="A267">
        <v>10266</v>
      </c>
      <c r="B267" t="s">
        <v>988</v>
      </c>
      <c r="C267" t="s">
        <v>225</v>
      </c>
      <c r="D267" t="s">
        <v>466</v>
      </c>
      <c r="E267" t="s">
        <v>13</v>
      </c>
      <c r="F267" t="s">
        <v>32</v>
      </c>
      <c r="G267" t="s">
        <v>33</v>
      </c>
      <c r="H267" t="s">
        <v>27</v>
      </c>
      <c r="I267" t="s">
        <v>118</v>
      </c>
      <c r="J267">
        <v>2</v>
      </c>
      <c r="K267">
        <v>105.32</v>
      </c>
      <c r="L267">
        <v>4.55</v>
      </c>
    </row>
    <row r="268" spans="1:12" x14ac:dyDescent="0.25">
      <c r="A268">
        <v>10267</v>
      </c>
      <c r="B268" t="s">
        <v>988</v>
      </c>
      <c r="C268" t="s">
        <v>467</v>
      </c>
      <c r="D268" t="s">
        <v>468</v>
      </c>
      <c r="E268" t="s">
        <v>31</v>
      </c>
      <c r="F268" t="s">
        <v>20</v>
      </c>
      <c r="G268" t="s">
        <v>21</v>
      </c>
      <c r="H268" t="s">
        <v>22</v>
      </c>
      <c r="I268" t="s">
        <v>38</v>
      </c>
      <c r="J268">
        <v>2</v>
      </c>
      <c r="K268">
        <v>4941.96</v>
      </c>
      <c r="L268">
        <v>755.65</v>
      </c>
    </row>
    <row r="269" spans="1:12" x14ac:dyDescent="0.25">
      <c r="A269">
        <v>10268</v>
      </c>
      <c r="B269" t="s">
        <v>988</v>
      </c>
      <c r="C269" t="s">
        <v>128</v>
      </c>
      <c r="D269" t="s">
        <v>329</v>
      </c>
      <c r="E269" t="s">
        <v>13</v>
      </c>
      <c r="F269" t="s">
        <v>14</v>
      </c>
      <c r="G269" t="s">
        <v>15</v>
      </c>
      <c r="H269" t="s">
        <v>22</v>
      </c>
      <c r="I269" t="s">
        <v>38</v>
      </c>
      <c r="J269">
        <v>6</v>
      </c>
      <c r="K269">
        <v>4416.8500000000004</v>
      </c>
      <c r="L269">
        <v>294.92</v>
      </c>
    </row>
    <row r="270" spans="1:12" x14ac:dyDescent="0.25">
      <c r="A270">
        <v>10269</v>
      </c>
      <c r="B270" t="s">
        <v>988</v>
      </c>
      <c r="C270" t="s">
        <v>469</v>
      </c>
      <c r="D270" t="s">
        <v>470</v>
      </c>
      <c r="E270" t="s">
        <v>13</v>
      </c>
      <c r="F270" t="s">
        <v>46</v>
      </c>
      <c r="G270" t="s">
        <v>71</v>
      </c>
      <c r="H270" t="s">
        <v>16</v>
      </c>
      <c r="I270" t="s">
        <v>81</v>
      </c>
      <c r="J270">
        <v>3</v>
      </c>
      <c r="K270">
        <v>2256.4899999999998</v>
      </c>
      <c r="L270">
        <v>457.56</v>
      </c>
    </row>
    <row r="271" spans="1:12" x14ac:dyDescent="0.25">
      <c r="A271">
        <v>10270</v>
      </c>
      <c r="B271" t="s">
        <v>988</v>
      </c>
      <c r="C271" t="s">
        <v>142</v>
      </c>
      <c r="D271" t="s">
        <v>471</v>
      </c>
      <c r="E271" t="s">
        <v>26</v>
      </c>
      <c r="F271" t="s">
        <v>20</v>
      </c>
      <c r="G271" t="s">
        <v>21</v>
      </c>
      <c r="H271" t="s">
        <v>22</v>
      </c>
      <c r="I271" t="s">
        <v>23</v>
      </c>
      <c r="J271">
        <v>3</v>
      </c>
      <c r="K271">
        <v>3786.98</v>
      </c>
      <c r="L271">
        <v>709.12</v>
      </c>
    </row>
    <row r="272" spans="1:12" x14ac:dyDescent="0.25">
      <c r="A272">
        <v>10271</v>
      </c>
      <c r="B272" t="s">
        <v>988</v>
      </c>
      <c r="C272" t="s">
        <v>232</v>
      </c>
      <c r="D272" t="s">
        <v>472</v>
      </c>
      <c r="E272" t="s">
        <v>13</v>
      </c>
      <c r="F272" t="s">
        <v>46</v>
      </c>
      <c r="G272" t="s">
        <v>47</v>
      </c>
      <c r="H272" t="s">
        <v>16</v>
      </c>
      <c r="I272" t="s">
        <v>81</v>
      </c>
      <c r="J272">
        <v>4</v>
      </c>
      <c r="K272">
        <v>2811.64</v>
      </c>
      <c r="L272">
        <v>501.57</v>
      </c>
    </row>
    <row r="273" spans="1:12" x14ac:dyDescent="0.25">
      <c r="A273">
        <v>10272</v>
      </c>
      <c r="B273" t="s">
        <v>988</v>
      </c>
      <c r="C273" t="s">
        <v>473</v>
      </c>
      <c r="D273" t="s">
        <v>474</v>
      </c>
      <c r="E273" t="s">
        <v>31</v>
      </c>
      <c r="F273" t="s">
        <v>32</v>
      </c>
      <c r="G273" t="s">
        <v>33</v>
      </c>
      <c r="H273" t="s">
        <v>16</v>
      </c>
      <c r="I273" t="s">
        <v>43</v>
      </c>
      <c r="J273">
        <v>7</v>
      </c>
      <c r="K273">
        <v>1548.16</v>
      </c>
      <c r="L273">
        <v>8.74</v>
      </c>
    </row>
    <row r="274" spans="1:12" x14ac:dyDescent="0.25">
      <c r="A274">
        <v>10273</v>
      </c>
      <c r="B274" t="s">
        <v>988</v>
      </c>
      <c r="C274" t="s">
        <v>475</v>
      </c>
      <c r="D274" t="s">
        <v>476</v>
      </c>
      <c r="E274" t="s">
        <v>31</v>
      </c>
      <c r="F274" t="s">
        <v>14</v>
      </c>
      <c r="G274" t="s">
        <v>15</v>
      </c>
      <c r="H274" t="s">
        <v>27</v>
      </c>
      <c r="I274" t="s">
        <v>118</v>
      </c>
      <c r="J274">
        <v>1</v>
      </c>
      <c r="K274">
        <v>4935.72</v>
      </c>
      <c r="L274">
        <v>1385.99</v>
      </c>
    </row>
    <row r="275" spans="1:12" x14ac:dyDescent="0.25">
      <c r="A275">
        <v>10274</v>
      </c>
      <c r="B275" t="s">
        <v>988</v>
      </c>
      <c r="C275" t="s">
        <v>477</v>
      </c>
      <c r="D275" t="s">
        <v>478</v>
      </c>
      <c r="E275" t="s">
        <v>31</v>
      </c>
      <c r="F275" t="s">
        <v>46</v>
      </c>
      <c r="G275" t="s">
        <v>47</v>
      </c>
      <c r="H275" t="s">
        <v>22</v>
      </c>
      <c r="I275" t="s">
        <v>23</v>
      </c>
      <c r="J275">
        <v>2</v>
      </c>
      <c r="K275">
        <v>167.59</v>
      </c>
      <c r="L275">
        <v>-74.84</v>
      </c>
    </row>
    <row r="276" spans="1:12" x14ac:dyDescent="0.25">
      <c r="A276">
        <v>10275</v>
      </c>
      <c r="B276" t="s">
        <v>988</v>
      </c>
      <c r="C276" t="s">
        <v>479</v>
      </c>
      <c r="D276" t="s">
        <v>480</v>
      </c>
      <c r="E276" t="s">
        <v>26</v>
      </c>
      <c r="F276" t="s">
        <v>20</v>
      </c>
      <c r="G276" t="s">
        <v>76</v>
      </c>
      <c r="H276" t="s">
        <v>16</v>
      </c>
      <c r="I276" t="s">
        <v>51</v>
      </c>
      <c r="J276">
        <v>2</v>
      </c>
      <c r="K276">
        <v>3238.63</v>
      </c>
      <c r="L276">
        <v>581.98</v>
      </c>
    </row>
    <row r="277" spans="1:12" x14ac:dyDescent="0.25">
      <c r="A277">
        <v>10276</v>
      </c>
      <c r="B277" t="s">
        <v>988</v>
      </c>
      <c r="C277" t="s">
        <v>388</v>
      </c>
      <c r="D277" t="s">
        <v>481</v>
      </c>
      <c r="E277" t="s">
        <v>31</v>
      </c>
      <c r="F277" t="s">
        <v>46</v>
      </c>
      <c r="G277" t="s">
        <v>71</v>
      </c>
      <c r="H277" t="s">
        <v>16</v>
      </c>
      <c r="I277" t="s">
        <v>17</v>
      </c>
      <c r="J277">
        <v>7</v>
      </c>
      <c r="K277">
        <v>2973.54</v>
      </c>
      <c r="L277">
        <v>651.05999999999995</v>
      </c>
    </row>
    <row r="278" spans="1:12" x14ac:dyDescent="0.25">
      <c r="A278">
        <v>10277</v>
      </c>
      <c r="B278" t="s">
        <v>988</v>
      </c>
      <c r="C278" t="s">
        <v>482</v>
      </c>
      <c r="D278" t="s">
        <v>483</v>
      </c>
      <c r="E278" t="s">
        <v>13</v>
      </c>
      <c r="F278" t="s">
        <v>20</v>
      </c>
      <c r="G278" t="s">
        <v>21</v>
      </c>
      <c r="H278" t="s">
        <v>22</v>
      </c>
      <c r="I278" t="s">
        <v>48</v>
      </c>
      <c r="J278">
        <v>2</v>
      </c>
      <c r="K278">
        <v>4630.68</v>
      </c>
      <c r="L278">
        <v>304.58</v>
      </c>
    </row>
    <row r="279" spans="1:12" x14ac:dyDescent="0.25">
      <c r="A279">
        <v>10278</v>
      </c>
      <c r="B279" t="s">
        <v>988</v>
      </c>
      <c r="C279" t="s">
        <v>130</v>
      </c>
      <c r="D279" t="s">
        <v>484</v>
      </c>
      <c r="E279" t="s">
        <v>31</v>
      </c>
      <c r="F279" t="s">
        <v>46</v>
      </c>
      <c r="G279" t="s">
        <v>71</v>
      </c>
      <c r="H279" t="s">
        <v>22</v>
      </c>
      <c r="I279" t="s">
        <v>48</v>
      </c>
      <c r="J279">
        <v>1</v>
      </c>
      <c r="K279">
        <v>902.78</v>
      </c>
      <c r="L279">
        <v>207.93</v>
      </c>
    </row>
    <row r="280" spans="1:12" x14ac:dyDescent="0.25">
      <c r="A280">
        <v>10279</v>
      </c>
      <c r="B280" t="s">
        <v>988</v>
      </c>
      <c r="C280" t="s">
        <v>57</v>
      </c>
      <c r="D280" t="s">
        <v>485</v>
      </c>
      <c r="E280" t="s">
        <v>13</v>
      </c>
      <c r="F280" t="s">
        <v>46</v>
      </c>
      <c r="G280" t="s">
        <v>47</v>
      </c>
      <c r="H280" t="s">
        <v>16</v>
      </c>
      <c r="I280" t="s">
        <v>81</v>
      </c>
      <c r="J280">
        <v>1</v>
      </c>
      <c r="K280">
        <v>1741.55</v>
      </c>
      <c r="L280">
        <v>221.61</v>
      </c>
    </row>
    <row r="281" spans="1:12" x14ac:dyDescent="0.25">
      <c r="A281">
        <v>10280</v>
      </c>
      <c r="B281" t="s">
        <v>988</v>
      </c>
      <c r="C281" t="s">
        <v>486</v>
      </c>
      <c r="D281" t="s">
        <v>36</v>
      </c>
      <c r="E281" t="s">
        <v>26</v>
      </c>
      <c r="F281" t="s">
        <v>14</v>
      </c>
      <c r="G281" t="s">
        <v>37</v>
      </c>
      <c r="H281" t="s">
        <v>27</v>
      </c>
      <c r="I281" t="s">
        <v>28</v>
      </c>
      <c r="J281">
        <v>1</v>
      </c>
      <c r="K281">
        <v>2548.09</v>
      </c>
      <c r="L281">
        <v>451.75</v>
      </c>
    </row>
    <row r="282" spans="1:12" x14ac:dyDescent="0.25">
      <c r="A282">
        <v>10281</v>
      </c>
      <c r="B282" t="s">
        <v>988</v>
      </c>
      <c r="C282" t="s">
        <v>487</v>
      </c>
      <c r="D282" t="s">
        <v>488</v>
      </c>
      <c r="E282" t="s">
        <v>26</v>
      </c>
      <c r="F282" t="s">
        <v>14</v>
      </c>
      <c r="G282" t="s">
        <v>15</v>
      </c>
      <c r="H282" t="s">
        <v>16</v>
      </c>
      <c r="I282" t="s">
        <v>81</v>
      </c>
      <c r="J282">
        <v>1</v>
      </c>
      <c r="K282">
        <v>4307.58</v>
      </c>
      <c r="L282">
        <v>224.01</v>
      </c>
    </row>
    <row r="283" spans="1:12" x14ac:dyDescent="0.25">
      <c r="A283">
        <v>10282</v>
      </c>
      <c r="B283" t="s">
        <v>988</v>
      </c>
      <c r="C283" t="s">
        <v>154</v>
      </c>
      <c r="D283" t="s">
        <v>489</v>
      </c>
      <c r="E283" t="s">
        <v>26</v>
      </c>
      <c r="F283" t="s">
        <v>46</v>
      </c>
      <c r="G283" t="s">
        <v>71</v>
      </c>
      <c r="H283" t="s">
        <v>16</v>
      </c>
      <c r="I283" t="s">
        <v>51</v>
      </c>
      <c r="J283">
        <v>4</v>
      </c>
      <c r="K283">
        <v>1676.83</v>
      </c>
      <c r="L283">
        <v>186.31</v>
      </c>
    </row>
    <row r="284" spans="1:12" x14ac:dyDescent="0.25">
      <c r="A284">
        <v>10283</v>
      </c>
      <c r="B284" t="s">
        <v>988</v>
      </c>
      <c r="C284" t="s">
        <v>490</v>
      </c>
      <c r="D284" t="s">
        <v>379</v>
      </c>
      <c r="E284" t="s">
        <v>31</v>
      </c>
      <c r="F284" t="s">
        <v>32</v>
      </c>
      <c r="G284" t="s">
        <v>33</v>
      </c>
      <c r="H284" t="s">
        <v>16</v>
      </c>
      <c r="I284" t="s">
        <v>81</v>
      </c>
      <c r="J284">
        <v>3</v>
      </c>
      <c r="K284">
        <v>1193.6099999999999</v>
      </c>
      <c r="L284">
        <v>209</v>
      </c>
    </row>
    <row r="285" spans="1:12" x14ac:dyDescent="0.25">
      <c r="A285">
        <v>10284</v>
      </c>
      <c r="B285" t="s">
        <v>988</v>
      </c>
      <c r="C285" t="s">
        <v>491</v>
      </c>
      <c r="D285" t="s">
        <v>492</v>
      </c>
      <c r="E285" t="s">
        <v>13</v>
      </c>
      <c r="F285" t="s">
        <v>32</v>
      </c>
      <c r="G285" t="s">
        <v>54</v>
      </c>
      <c r="H285" t="s">
        <v>27</v>
      </c>
      <c r="I285" t="s">
        <v>118</v>
      </c>
      <c r="J285">
        <v>8</v>
      </c>
      <c r="K285">
        <v>139.05000000000001</v>
      </c>
      <c r="L285">
        <v>-42.45</v>
      </c>
    </row>
    <row r="286" spans="1:12" x14ac:dyDescent="0.25">
      <c r="A286">
        <v>10285</v>
      </c>
      <c r="B286" t="s">
        <v>988</v>
      </c>
      <c r="C286" t="s">
        <v>469</v>
      </c>
      <c r="D286" t="s">
        <v>493</v>
      </c>
      <c r="E286" t="s">
        <v>31</v>
      </c>
      <c r="F286" t="s">
        <v>46</v>
      </c>
      <c r="G286" t="s">
        <v>47</v>
      </c>
      <c r="H286" t="s">
        <v>27</v>
      </c>
      <c r="I286" t="s">
        <v>77</v>
      </c>
      <c r="J286">
        <v>4</v>
      </c>
      <c r="K286">
        <v>3689.07</v>
      </c>
      <c r="L286">
        <v>608.92999999999995</v>
      </c>
    </row>
    <row r="287" spans="1:12" x14ac:dyDescent="0.25">
      <c r="A287">
        <v>10286</v>
      </c>
      <c r="B287" t="s">
        <v>988</v>
      </c>
      <c r="C287" t="s">
        <v>346</v>
      </c>
      <c r="D287" t="s">
        <v>494</v>
      </c>
      <c r="E287" t="s">
        <v>26</v>
      </c>
      <c r="F287" t="s">
        <v>14</v>
      </c>
      <c r="G287" t="s">
        <v>15</v>
      </c>
      <c r="H287" t="s">
        <v>16</v>
      </c>
      <c r="I287" t="s">
        <v>17</v>
      </c>
      <c r="J287">
        <v>1</v>
      </c>
      <c r="K287">
        <v>4759.8500000000004</v>
      </c>
      <c r="L287">
        <v>174</v>
      </c>
    </row>
    <row r="288" spans="1:12" x14ac:dyDescent="0.25">
      <c r="A288">
        <v>10287</v>
      </c>
      <c r="B288" t="s">
        <v>988</v>
      </c>
      <c r="C288" t="s">
        <v>495</v>
      </c>
      <c r="D288" t="s">
        <v>106</v>
      </c>
      <c r="E288" t="s">
        <v>13</v>
      </c>
      <c r="F288" t="s">
        <v>46</v>
      </c>
      <c r="G288" t="s">
        <v>47</v>
      </c>
      <c r="H288" t="s">
        <v>27</v>
      </c>
      <c r="I288" t="s">
        <v>118</v>
      </c>
      <c r="J288">
        <v>3</v>
      </c>
      <c r="K288">
        <v>3587.1</v>
      </c>
      <c r="L288">
        <v>170.65</v>
      </c>
    </row>
    <row r="289" spans="1:12" x14ac:dyDescent="0.25">
      <c r="A289">
        <v>10288</v>
      </c>
      <c r="B289" t="s">
        <v>988</v>
      </c>
      <c r="C289" t="s">
        <v>344</v>
      </c>
      <c r="D289" t="s">
        <v>496</v>
      </c>
      <c r="E289" t="s">
        <v>26</v>
      </c>
      <c r="F289" t="s">
        <v>32</v>
      </c>
      <c r="G289" t="s">
        <v>54</v>
      </c>
      <c r="H289" t="s">
        <v>16</v>
      </c>
      <c r="I289" t="s">
        <v>81</v>
      </c>
      <c r="J289">
        <v>2</v>
      </c>
      <c r="K289">
        <v>2576.6</v>
      </c>
      <c r="L289">
        <v>499.86</v>
      </c>
    </row>
    <row r="290" spans="1:12" x14ac:dyDescent="0.25">
      <c r="A290">
        <v>10289</v>
      </c>
      <c r="B290" t="s">
        <v>988</v>
      </c>
      <c r="C290" t="s">
        <v>497</v>
      </c>
      <c r="D290" t="s">
        <v>498</v>
      </c>
      <c r="E290" t="s">
        <v>31</v>
      </c>
      <c r="F290" t="s">
        <v>20</v>
      </c>
      <c r="G290" t="s">
        <v>21</v>
      </c>
      <c r="H290" t="s">
        <v>22</v>
      </c>
      <c r="I290" t="s">
        <v>38</v>
      </c>
      <c r="J290">
        <v>5</v>
      </c>
      <c r="K290">
        <v>4269.4799999999996</v>
      </c>
      <c r="L290">
        <v>1162.6099999999999</v>
      </c>
    </row>
    <row r="291" spans="1:12" x14ac:dyDescent="0.25">
      <c r="A291">
        <v>10290</v>
      </c>
      <c r="B291" t="s">
        <v>988</v>
      </c>
      <c r="C291" t="s">
        <v>179</v>
      </c>
      <c r="D291" t="s">
        <v>273</v>
      </c>
      <c r="E291" t="s">
        <v>31</v>
      </c>
      <c r="F291" t="s">
        <v>32</v>
      </c>
      <c r="G291" t="s">
        <v>33</v>
      </c>
      <c r="H291" t="s">
        <v>22</v>
      </c>
      <c r="I291" t="s">
        <v>48</v>
      </c>
      <c r="J291">
        <v>3</v>
      </c>
      <c r="K291">
        <v>3921.69</v>
      </c>
      <c r="L291">
        <v>753.8</v>
      </c>
    </row>
    <row r="292" spans="1:12" x14ac:dyDescent="0.25">
      <c r="A292">
        <v>10291</v>
      </c>
      <c r="B292" t="s">
        <v>988</v>
      </c>
      <c r="C292" t="s">
        <v>52</v>
      </c>
      <c r="D292" t="s">
        <v>255</v>
      </c>
      <c r="E292" t="s">
        <v>13</v>
      </c>
      <c r="F292" t="s">
        <v>32</v>
      </c>
      <c r="G292" t="s">
        <v>54</v>
      </c>
      <c r="H292" t="s">
        <v>22</v>
      </c>
      <c r="I292" t="s">
        <v>38</v>
      </c>
      <c r="J292">
        <v>4</v>
      </c>
      <c r="K292">
        <v>2314.39</v>
      </c>
      <c r="L292">
        <v>298.56</v>
      </c>
    </row>
    <row r="293" spans="1:12" x14ac:dyDescent="0.25">
      <c r="A293">
        <v>10292</v>
      </c>
      <c r="B293" t="s">
        <v>988</v>
      </c>
      <c r="C293" t="s">
        <v>499</v>
      </c>
      <c r="D293" t="s">
        <v>500</v>
      </c>
      <c r="E293" t="s">
        <v>13</v>
      </c>
      <c r="F293" t="s">
        <v>32</v>
      </c>
      <c r="G293" t="s">
        <v>33</v>
      </c>
      <c r="H293" t="s">
        <v>22</v>
      </c>
      <c r="I293" t="s">
        <v>38</v>
      </c>
      <c r="J293">
        <v>3</v>
      </c>
      <c r="K293">
        <v>546.94000000000005</v>
      </c>
      <c r="L293">
        <v>25.71</v>
      </c>
    </row>
    <row r="294" spans="1:12" x14ac:dyDescent="0.25">
      <c r="A294">
        <v>10293</v>
      </c>
      <c r="B294" t="s">
        <v>988</v>
      </c>
      <c r="C294" t="s">
        <v>72</v>
      </c>
      <c r="D294" t="s">
        <v>78</v>
      </c>
      <c r="E294" t="s">
        <v>26</v>
      </c>
      <c r="F294" t="s">
        <v>32</v>
      </c>
      <c r="G294" t="s">
        <v>54</v>
      </c>
      <c r="H294" t="s">
        <v>22</v>
      </c>
      <c r="I294" t="s">
        <v>23</v>
      </c>
      <c r="J294">
        <v>7</v>
      </c>
      <c r="K294">
        <v>4287.55</v>
      </c>
      <c r="L294">
        <v>755.29</v>
      </c>
    </row>
    <row r="295" spans="1:12" x14ac:dyDescent="0.25">
      <c r="A295">
        <v>10294</v>
      </c>
      <c r="B295" t="s">
        <v>988</v>
      </c>
      <c r="C295" t="s">
        <v>193</v>
      </c>
      <c r="D295" t="s">
        <v>501</v>
      </c>
      <c r="E295" t="s">
        <v>26</v>
      </c>
      <c r="F295" t="s">
        <v>46</v>
      </c>
      <c r="G295" t="s">
        <v>71</v>
      </c>
      <c r="H295" t="s">
        <v>22</v>
      </c>
      <c r="I295" t="s">
        <v>23</v>
      </c>
      <c r="J295">
        <v>4</v>
      </c>
      <c r="K295">
        <v>740.5</v>
      </c>
      <c r="L295">
        <v>152.28</v>
      </c>
    </row>
    <row r="296" spans="1:12" x14ac:dyDescent="0.25">
      <c r="A296">
        <v>10295</v>
      </c>
      <c r="B296" t="s">
        <v>988</v>
      </c>
      <c r="C296" t="s">
        <v>305</v>
      </c>
      <c r="D296" t="s">
        <v>502</v>
      </c>
      <c r="E296" t="s">
        <v>26</v>
      </c>
      <c r="F296" t="s">
        <v>32</v>
      </c>
      <c r="G296" t="s">
        <v>33</v>
      </c>
      <c r="H296" t="s">
        <v>22</v>
      </c>
      <c r="I296" t="s">
        <v>23</v>
      </c>
      <c r="J296">
        <v>4</v>
      </c>
      <c r="K296">
        <v>4522.2299999999996</v>
      </c>
      <c r="L296">
        <v>714.56</v>
      </c>
    </row>
    <row r="297" spans="1:12" x14ac:dyDescent="0.25">
      <c r="A297">
        <v>10296</v>
      </c>
      <c r="B297" t="s">
        <v>988</v>
      </c>
      <c r="C297" t="s">
        <v>39</v>
      </c>
      <c r="D297" t="s">
        <v>503</v>
      </c>
      <c r="E297" t="s">
        <v>26</v>
      </c>
      <c r="F297" t="s">
        <v>20</v>
      </c>
      <c r="G297" t="s">
        <v>21</v>
      </c>
      <c r="H297" t="s">
        <v>22</v>
      </c>
      <c r="I297" t="s">
        <v>34</v>
      </c>
      <c r="J297">
        <v>7</v>
      </c>
      <c r="K297">
        <v>2531.02</v>
      </c>
      <c r="L297">
        <v>326.06</v>
      </c>
    </row>
    <row r="298" spans="1:12" x14ac:dyDescent="0.25">
      <c r="A298">
        <v>10297</v>
      </c>
      <c r="B298" t="s">
        <v>988</v>
      </c>
      <c r="C298" t="s">
        <v>337</v>
      </c>
      <c r="D298" t="s">
        <v>470</v>
      </c>
      <c r="E298" t="s">
        <v>13</v>
      </c>
      <c r="F298" t="s">
        <v>32</v>
      </c>
      <c r="G298" t="s">
        <v>54</v>
      </c>
      <c r="H298" t="s">
        <v>27</v>
      </c>
      <c r="I298" t="s">
        <v>104</v>
      </c>
      <c r="J298">
        <v>1</v>
      </c>
      <c r="K298">
        <v>3109.12</v>
      </c>
      <c r="L298">
        <v>570.29</v>
      </c>
    </row>
    <row r="299" spans="1:12" x14ac:dyDescent="0.25">
      <c r="A299">
        <v>10298</v>
      </c>
      <c r="B299" t="s">
        <v>988</v>
      </c>
      <c r="C299" t="s">
        <v>283</v>
      </c>
      <c r="D299" t="s">
        <v>504</v>
      </c>
      <c r="E299" t="s">
        <v>13</v>
      </c>
      <c r="F299" t="s">
        <v>20</v>
      </c>
      <c r="G299" t="s">
        <v>21</v>
      </c>
      <c r="H299" t="s">
        <v>22</v>
      </c>
      <c r="I299" t="s">
        <v>38</v>
      </c>
      <c r="J299">
        <v>7</v>
      </c>
      <c r="K299">
        <v>772.46</v>
      </c>
      <c r="L299">
        <v>-11.32</v>
      </c>
    </row>
    <row r="300" spans="1:12" x14ac:dyDescent="0.25">
      <c r="A300">
        <v>10299</v>
      </c>
      <c r="B300" t="s">
        <v>988</v>
      </c>
      <c r="C300" t="s">
        <v>328</v>
      </c>
      <c r="D300" t="s">
        <v>122</v>
      </c>
      <c r="E300" t="s">
        <v>31</v>
      </c>
      <c r="F300" t="s">
        <v>14</v>
      </c>
      <c r="G300" t="s">
        <v>37</v>
      </c>
      <c r="H300" t="s">
        <v>16</v>
      </c>
      <c r="I300" t="s">
        <v>17</v>
      </c>
      <c r="J300">
        <v>8</v>
      </c>
      <c r="K300">
        <v>2768.14</v>
      </c>
      <c r="L300">
        <v>382.55</v>
      </c>
    </row>
    <row r="301" spans="1:12" x14ac:dyDescent="0.25">
      <c r="A301">
        <v>10300</v>
      </c>
      <c r="B301" t="s">
        <v>988</v>
      </c>
      <c r="C301" t="s">
        <v>505</v>
      </c>
      <c r="D301" t="s">
        <v>506</v>
      </c>
      <c r="E301" t="s">
        <v>31</v>
      </c>
      <c r="F301" t="s">
        <v>32</v>
      </c>
      <c r="G301" t="s">
        <v>33</v>
      </c>
      <c r="H301" t="s">
        <v>22</v>
      </c>
      <c r="I301" t="s">
        <v>38</v>
      </c>
      <c r="J301">
        <v>4</v>
      </c>
      <c r="K301">
        <v>243.59</v>
      </c>
      <c r="L301">
        <v>33.46</v>
      </c>
    </row>
    <row r="302" spans="1:12" x14ac:dyDescent="0.25">
      <c r="A302">
        <v>10301</v>
      </c>
      <c r="B302" t="s">
        <v>988</v>
      </c>
      <c r="C302" t="s">
        <v>482</v>
      </c>
      <c r="D302" t="s">
        <v>507</v>
      </c>
      <c r="E302" t="s">
        <v>26</v>
      </c>
      <c r="F302" t="s">
        <v>46</v>
      </c>
      <c r="G302" t="s">
        <v>71</v>
      </c>
      <c r="H302" t="s">
        <v>22</v>
      </c>
      <c r="I302" t="s">
        <v>48</v>
      </c>
      <c r="J302">
        <v>4</v>
      </c>
      <c r="K302">
        <v>1405.98</v>
      </c>
      <c r="L302">
        <v>265.49</v>
      </c>
    </row>
    <row r="303" spans="1:12" x14ac:dyDescent="0.25">
      <c r="A303">
        <v>10302</v>
      </c>
      <c r="B303" t="s">
        <v>988</v>
      </c>
      <c r="C303" t="s">
        <v>508</v>
      </c>
      <c r="D303" t="s">
        <v>509</v>
      </c>
      <c r="E303" t="s">
        <v>13</v>
      </c>
      <c r="F303" t="s">
        <v>20</v>
      </c>
      <c r="G303" t="s">
        <v>76</v>
      </c>
      <c r="H303" t="s">
        <v>22</v>
      </c>
      <c r="I303" t="s">
        <v>48</v>
      </c>
      <c r="J303">
        <v>4</v>
      </c>
      <c r="K303">
        <v>3003.35</v>
      </c>
      <c r="L303">
        <v>685.74</v>
      </c>
    </row>
    <row r="304" spans="1:12" x14ac:dyDescent="0.25">
      <c r="A304">
        <v>10303</v>
      </c>
      <c r="B304" t="s">
        <v>988</v>
      </c>
      <c r="C304" t="s">
        <v>482</v>
      </c>
      <c r="D304" t="s">
        <v>510</v>
      </c>
      <c r="E304" t="s">
        <v>13</v>
      </c>
      <c r="F304" t="s">
        <v>32</v>
      </c>
      <c r="G304" t="s">
        <v>33</v>
      </c>
      <c r="H304" t="s">
        <v>16</v>
      </c>
      <c r="I304" t="s">
        <v>43</v>
      </c>
      <c r="J304">
        <v>8</v>
      </c>
      <c r="K304">
        <v>2756.41</v>
      </c>
      <c r="L304">
        <v>255</v>
      </c>
    </row>
    <row r="305" spans="1:12" x14ac:dyDescent="0.25">
      <c r="A305">
        <v>10304</v>
      </c>
      <c r="B305" t="s">
        <v>988</v>
      </c>
      <c r="C305" t="s">
        <v>157</v>
      </c>
      <c r="D305" t="s">
        <v>511</v>
      </c>
      <c r="E305" t="s">
        <v>26</v>
      </c>
      <c r="F305" t="s">
        <v>46</v>
      </c>
      <c r="G305" t="s">
        <v>71</v>
      </c>
      <c r="H305" t="s">
        <v>16</v>
      </c>
      <c r="I305" t="s">
        <v>51</v>
      </c>
      <c r="J305">
        <v>1</v>
      </c>
      <c r="K305">
        <v>1725.5</v>
      </c>
      <c r="L305">
        <v>270.55</v>
      </c>
    </row>
    <row r="306" spans="1:12" x14ac:dyDescent="0.25">
      <c r="A306">
        <v>10305</v>
      </c>
      <c r="B306" t="s">
        <v>988</v>
      </c>
      <c r="C306" t="s">
        <v>90</v>
      </c>
      <c r="D306" t="s">
        <v>373</v>
      </c>
      <c r="E306" t="s">
        <v>13</v>
      </c>
      <c r="F306" t="s">
        <v>32</v>
      </c>
      <c r="G306" t="s">
        <v>33</v>
      </c>
      <c r="H306" t="s">
        <v>22</v>
      </c>
      <c r="I306" t="s">
        <v>48</v>
      </c>
      <c r="J306">
        <v>3</v>
      </c>
      <c r="K306">
        <v>3894.4</v>
      </c>
      <c r="L306">
        <v>932.79</v>
      </c>
    </row>
    <row r="307" spans="1:12" x14ac:dyDescent="0.25">
      <c r="A307">
        <v>10306</v>
      </c>
      <c r="B307" t="s">
        <v>988</v>
      </c>
      <c r="C307" t="s">
        <v>41</v>
      </c>
      <c r="D307" t="s">
        <v>512</v>
      </c>
      <c r="E307" t="s">
        <v>13</v>
      </c>
      <c r="F307" t="s">
        <v>20</v>
      </c>
      <c r="G307" t="s">
        <v>21</v>
      </c>
      <c r="H307" t="s">
        <v>27</v>
      </c>
      <c r="I307" t="s">
        <v>28</v>
      </c>
      <c r="J307">
        <v>6</v>
      </c>
      <c r="K307">
        <v>768.61</v>
      </c>
      <c r="L307">
        <v>-26.17</v>
      </c>
    </row>
    <row r="308" spans="1:12" x14ac:dyDescent="0.25">
      <c r="A308">
        <v>10307</v>
      </c>
      <c r="B308" t="s">
        <v>988</v>
      </c>
      <c r="C308" t="s">
        <v>463</v>
      </c>
      <c r="D308" t="s">
        <v>513</v>
      </c>
      <c r="E308" t="s">
        <v>26</v>
      </c>
      <c r="F308" t="s">
        <v>32</v>
      </c>
      <c r="G308" t="s">
        <v>33</v>
      </c>
      <c r="H308" t="s">
        <v>16</v>
      </c>
      <c r="I308" t="s">
        <v>17</v>
      </c>
      <c r="J308">
        <v>4</v>
      </c>
      <c r="K308">
        <v>3361.11</v>
      </c>
      <c r="L308">
        <v>814.58</v>
      </c>
    </row>
    <row r="309" spans="1:12" x14ac:dyDescent="0.25">
      <c r="A309">
        <v>10308</v>
      </c>
      <c r="B309" t="s">
        <v>988</v>
      </c>
      <c r="C309" t="s">
        <v>514</v>
      </c>
      <c r="D309" t="s">
        <v>230</v>
      </c>
      <c r="E309" t="s">
        <v>13</v>
      </c>
      <c r="F309" t="s">
        <v>46</v>
      </c>
      <c r="G309" t="s">
        <v>71</v>
      </c>
      <c r="H309" t="s">
        <v>16</v>
      </c>
      <c r="I309" t="s">
        <v>51</v>
      </c>
      <c r="J309">
        <v>1</v>
      </c>
      <c r="K309">
        <v>992.2</v>
      </c>
      <c r="L309">
        <v>47.66</v>
      </c>
    </row>
    <row r="310" spans="1:12" x14ac:dyDescent="0.25">
      <c r="A310">
        <v>10309</v>
      </c>
      <c r="B310" t="s">
        <v>988</v>
      </c>
      <c r="C310" t="s">
        <v>515</v>
      </c>
      <c r="D310" t="s">
        <v>516</v>
      </c>
      <c r="E310" t="s">
        <v>13</v>
      </c>
      <c r="F310" t="s">
        <v>14</v>
      </c>
      <c r="G310" t="s">
        <v>37</v>
      </c>
      <c r="H310" t="s">
        <v>22</v>
      </c>
      <c r="I310" t="s">
        <v>38</v>
      </c>
      <c r="J310">
        <v>2</v>
      </c>
      <c r="K310">
        <v>1266.18</v>
      </c>
      <c r="L310">
        <v>357.49</v>
      </c>
    </row>
    <row r="311" spans="1:12" x14ac:dyDescent="0.25">
      <c r="A311">
        <v>10310</v>
      </c>
      <c r="B311" t="s">
        <v>988</v>
      </c>
      <c r="C311" t="s">
        <v>517</v>
      </c>
      <c r="D311" t="s">
        <v>518</v>
      </c>
      <c r="E311" t="s">
        <v>26</v>
      </c>
      <c r="F311" t="s">
        <v>32</v>
      </c>
      <c r="G311" t="s">
        <v>54</v>
      </c>
      <c r="H311" t="s">
        <v>22</v>
      </c>
      <c r="I311" t="s">
        <v>38</v>
      </c>
      <c r="J311">
        <v>4</v>
      </c>
      <c r="K311">
        <v>1322.75</v>
      </c>
      <c r="L311">
        <v>62.89</v>
      </c>
    </row>
    <row r="312" spans="1:12" x14ac:dyDescent="0.25">
      <c r="A312">
        <v>10311</v>
      </c>
      <c r="B312" t="s">
        <v>988</v>
      </c>
      <c r="C312" t="s">
        <v>11</v>
      </c>
      <c r="D312" t="s">
        <v>519</v>
      </c>
      <c r="E312" t="s">
        <v>26</v>
      </c>
      <c r="F312" t="s">
        <v>14</v>
      </c>
      <c r="G312" t="s">
        <v>37</v>
      </c>
      <c r="H312" t="s">
        <v>27</v>
      </c>
      <c r="I312" t="s">
        <v>77</v>
      </c>
      <c r="J312">
        <v>3</v>
      </c>
      <c r="K312">
        <v>4434.3</v>
      </c>
      <c r="L312">
        <v>730.46</v>
      </c>
    </row>
    <row r="313" spans="1:12" x14ac:dyDescent="0.25">
      <c r="A313">
        <v>10312</v>
      </c>
      <c r="B313" t="s">
        <v>988</v>
      </c>
      <c r="C313" t="s">
        <v>520</v>
      </c>
      <c r="D313" t="s">
        <v>521</v>
      </c>
      <c r="E313" t="s">
        <v>26</v>
      </c>
      <c r="F313" t="s">
        <v>20</v>
      </c>
      <c r="G313" t="s">
        <v>21</v>
      </c>
      <c r="H313" t="s">
        <v>22</v>
      </c>
      <c r="I313" t="s">
        <v>34</v>
      </c>
      <c r="J313">
        <v>2</v>
      </c>
      <c r="K313">
        <v>4016.05</v>
      </c>
      <c r="L313">
        <v>232.34</v>
      </c>
    </row>
    <row r="314" spans="1:12" x14ac:dyDescent="0.25">
      <c r="A314">
        <v>10313</v>
      </c>
      <c r="B314" t="s">
        <v>988</v>
      </c>
      <c r="C314" t="s">
        <v>522</v>
      </c>
      <c r="D314" t="s">
        <v>523</v>
      </c>
      <c r="E314" t="s">
        <v>31</v>
      </c>
      <c r="F314" t="s">
        <v>32</v>
      </c>
      <c r="G314" t="s">
        <v>33</v>
      </c>
      <c r="H314" t="s">
        <v>27</v>
      </c>
      <c r="I314" t="s">
        <v>104</v>
      </c>
      <c r="J314">
        <v>2</v>
      </c>
      <c r="K314">
        <v>2780.53</v>
      </c>
      <c r="L314">
        <v>754.03</v>
      </c>
    </row>
    <row r="315" spans="1:12" x14ac:dyDescent="0.25">
      <c r="A315">
        <v>10314</v>
      </c>
      <c r="B315" t="s">
        <v>988</v>
      </c>
      <c r="C315" t="s">
        <v>393</v>
      </c>
      <c r="D315" t="s">
        <v>524</v>
      </c>
      <c r="E315" t="s">
        <v>13</v>
      </c>
      <c r="F315" t="s">
        <v>14</v>
      </c>
      <c r="G315" t="s">
        <v>37</v>
      </c>
      <c r="H315" t="s">
        <v>16</v>
      </c>
      <c r="I315" t="s">
        <v>43</v>
      </c>
      <c r="J315">
        <v>7</v>
      </c>
      <c r="K315">
        <v>869.81</v>
      </c>
      <c r="L315">
        <v>44.95</v>
      </c>
    </row>
    <row r="316" spans="1:12" x14ac:dyDescent="0.25">
      <c r="A316">
        <v>10315</v>
      </c>
      <c r="B316" t="s">
        <v>988</v>
      </c>
      <c r="C316" t="s">
        <v>525</v>
      </c>
      <c r="D316" t="s">
        <v>526</v>
      </c>
      <c r="E316" t="s">
        <v>31</v>
      </c>
      <c r="F316" t="s">
        <v>32</v>
      </c>
      <c r="G316" t="s">
        <v>54</v>
      </c>
      <c r="H316" t="s">
        <v>27</v>
      </c>
      <c r="I316" t="s">
        <v>104</v>
      </c>
      <c r="J316">
        <v>2</v>
      </c>
      <c r="K316">
        <v>343.21</v>
      </c>
      <c r="L316">
        <v>-17.77</v>
      </c>
    </row>
    <row r="317" spans="1:12" x14ac:dyDescent="0.25">
      <c r="A317">
        <v>10316</v>
      </c>
      <c r="B317" t="s">
        <v>988</v>
      </c>
      <c r="C317" t="s">
        <v>527</v>
      </c>
      <c r="D317" t="s">
        <v>528</v>
      </c>
      <c r="E317" t="s">
        <v>31</v>
      </c>
      <c r="F317" t="s">
        <v>14</v>
      </c>
      <c r="G317" t="s">
        <v>37</v>
      </c>
      <c r="H317" t="s">
        <v>22</v>
      </c>
      <c r="I317" t="s">
        <v>38</v>
      </c>
      <c r="J317">
        <v>8</v>
      </c>
      <c r="K317">
        <v>1078.4100000000001</v>
      </c>
      <c r="L317">
        <v>43.78</v>
      </c>
    </row>
    <row r="318" spans="1:12" x14ac:dyDescent="0.25">
      <c r="A318">
        <v>10317</v>
      </c>
      <c r="B318" t="s">
        <v>988</v>
      </c>
      <c r="C318" t="s">
        <v>529</v>
      </c>
      <c r="D318" t="s">
        <v>530</v>
      </c>
      <c r="E318" t="s">
        <v>31</v>
      </c>
      <c r="F318" t="s">
        <v>14</v>
      </c>
      <c r="G318" t="s">
        <v>37</v>
      </c>
      <c r="H318" t="s">
        <v>27</v>
      </c>
      <c r="I318" t="s">
        <v>77</v>
      </c>
      <c r="J318">
        <v>8</v>
      </c>
      <c r="K318">
        <v>4484.8999999999996</v>
      </c>
      <c r="L318">
        <v>457.19</v>
      </c>
    </row>
    <row r="319" spans="1:12" x14ac:dyDescent="0.25">
      <c r="A319">
        <v>10318</v>
      </c>
      <c r="B319" t="s">
        <v>988</v>
      </c>
      <c r="C319" t="s">
        <v>531</v>
      </c>
      <c r="D319" t="s">
        <v>532</v>
      </c>
      <c r="E319" t="s">
        <v>26</v>
      </c>
      <c r="F319" t="s">
        <v>20</v>
      </c>
      <c r="G319" t="s">
        <v>76</v>
      </c>
      <c r="H319" t="s">
        <v>22</v>
      </c>
      <c r="I319" t="s">
        <v>34</v>
      </c>
      <c r="J319">
        <v>1</v>
      </c>
      <c r="K319">
        <v>1390.15</v>
      </c>
      <c r="L319">
        <v>208.51</v>
      </c>
    </row>
    <row r="320" spans="1:12" x14ac:dyDescent="0.25">
      <c r="A320">
        <v>10319</v>
      </c>
      <c r="B320" t="s">
        <v>988</v>
      </c>
      <c r="C320" t="s">
        <v>529</v>
      </c>
      <c r="D320" t="s">
        <v>533</v>
      </c>
      <c r="E320" t="s">
        <v>13</v>
      </c>
      <c r="F320" t="s">
        <v>46</v>
      </c>
      <c r="G320" t="s">
        <v>71</v>
      </c>
      <c r="H320" t="s">
        <v>22</v>
      </c>
      <c r="I320" t="s">
        <v>38</v>
      </c>
      <c r="J320">
        <v>7</v>
      </c>
      <c r="K320">
        <v>4856.46</v>
      </c>
      <c r="L320">
        <v>903.46</v>
      </c>
    </row>
    <row r="321" spans="1:12" x14ac:dyDescent="0.25">
      <c r="A321">
        <v>10320</v>
      </c>
      <c r="B321" t="s">
        <v>988</v>
      </c>
      <c r="C321" t="s">
        <v>534</v>
      </c>
      <c r="D321" t="s">
        <v>535</v>
      </c>
      <c r="E321" t="s">
        <v>13</v>
      </c>
      <c r="F321" t="s">
        <v>20</v>
      </c>
      <c r="G321" t="s">
        <v>76</v>
      </c>
      <c r="H321" t="s">
        <v>16</v>
      </c>
      <c r="I321" t="s">
        <v>43</v>
      </c>
      <c r="J321">
        <v>8</v>
      </c>
      <c r="K321">
        <v>1564.38</v>
      </c>
      <c r="L321">
        <v>147.22999999999999</v>
      </c>
    </row>
    <row r="322" spans="1:12" x14ac:dyDescent="0.25">
      <c r="A322">
        <v>10321</v>
      </c>
      <c r="B322" t="s">
        <v>988</v>
      </c>
      <c r="C322" t="s">
        <v>536</v>
      </c>
      <c r="D322" t="s">
        <v>537</v>
      </c>
      <c r="E322" t="s">
        <v>13</v>
      </c>
      <c r="F322" t="s">
        <v>46</v>
      </c>
      <c r="G322" t="s">
        <v>71</v>
      </c>
      <c r="H322" t="s">
        <v>27</v>
      </c>
      <c r="I322" t="s">
        <v>104</v>
      </c>
      <c r="J322">
        <v>3</v>
      </c>
      <c r="K322">
        <v>4863.6099999999997</v>
      </c>
      <c r="L322">
        <v>1213.57</v>
      </c>
    </row>
    <row r="323" spans="1:12" x14ac:dyDescent="0.25">
      <c r="A323">
        <v>10322</v>
      </c>
      <c r="B323" t="s">
        <v>988</v>
      </c>
      <c r="C323" t="s">
        <v>538</v>
      </c>
      <c r="D323" t="s">
        <v>444</v>
      </c>
      <c r="E323" t="s">
        <v>13</v>
      </c>
      <c r="F323" t="s">
        <v>20</v>
      </c>
      <c r="G323" t="s">
        <v>21</v>
      </c>
      <c r="H323" t="s">
        <v>16</v>
      </c>
      <c r="I323" t="s">
        <v>43</v>
      </c>
      <c r="J323">
        <v>5</v>
      </c>
      <c r="K323">
        <v>1666.77</v>
      </c>
      <c r="L323">
        <v>305.58</v>
      </c>
    </row>
    <row r="324" spans="1:12" x14ac:dyDescent="0.25">
      <c r="A324">
        <v>10323</v>
      </c>
      <c r="B324" t="s">
        <v>988</v>
      </c>
      <c r="C324" t="s">
        <v>138</v>
      </c>
      <c r="D324" t="s">
        <v>539</v>
      </c>
      <c r="E324" t="s">
        <v>31</v>
      </c>
      <c r="F324" t="s">
        <v>20</v>
      </c>
      <c r="G324" t="s">
        <v>76</v>
      </c>
      <c r="H324" t="s">
        <v>27</v>
      </c>
      <c r="I324" t="s">
        <v>77</v>
      </c>
      <c r="J324">
        <v>1</v>
      </c>
      <c r="K324">
        <v>3954.1</v>
      </c>
      <c r="L324">
        <v>761.36</v>
      </c>
    </row>
    <row r="325" spans="1:12" x14ac:dyDescent="0.25">
      <c r="A325">
        <v>10324</v>
      </c>
      <c r="B325" t="s">
        <v>988</v>
      </c>
      <c r="C325" t="s">
        <v>110</v>
      </c>
      <c r="D325" t="s">
        <v>540</v>
      </c>
      <c r="E325" t="s">
        <v>31</v>
      </c>
      <c r="F325" t="s">
        <v>46</v>
      </c>
      <c r="G325" t="s">
        <v>71</v>
      </c>
      <c r="H325" t="s">
        <v>16</v>
      </c>
      <c r="I325" t="s">
        <v>81</v>
      </c>
      <c r="J325">
        <v>2</v>
      </c>
      <c r="K325">
        <v>2857.15</v>
      </c>
      <c r="L325">
        <v>186.38</v>
      </c>
    </row>
    <row r="326" spans="1:12" x14ac:dyDescent="0.25">
      <c r="A326">
        <v>10325</v>
      </c>
      <c r="B326" t="s">
        <v>988</v>
      </c>
      <c r="C326" t="s">
        <v>294</v>
      </c>
      <c r="D326" t="s">
        <v>541</v>
      </c>
      <c r="E326" t="s">
        <v>13</v>
      </c>
      <c r="F326" t="s">
        <v>32</v>
      </c>
      <c r="G326" t="s">
        <v>54</v>
      </c>
      <c r="H326" t="s">
        <v>16</v>
      </c>
      <c r="I326" t="s">
        <v>51</v>
      </c>
      <c r="J326">
        <v>8</v>
      </c>
      <c r="K326">
        <v>283.58</v>
      </c>
      <c r="L326">
        <v>19.32</v>
      </c>
    </row>
    <row r="327" spans="1:12" x14ac:dyDescent="0.25">
      <c r="A327">
        <v>10326</v>
      </c>
      <c r="B327" t="s">
        <v>988</v>
      </c>
      <c r="C327" t="s">
        <v>542</v>
      </c>
      <c r="D327" t="s">
        <v>543</v>
      </c>
      <c r="E327" t="s">
        <v>31</v>
      </c>
      <c r="F327" t="s">
        <v>20</v>
      </c>
      <c r="G327" t="s">
        <v>21</v>
      </c>
      <c r="H327" t="s">
        <v>27</v>
      </c>
      <c r="I327" t="s">
        <v>28</v>
      </c>
      <c r="J327">
        <v>4</v>
      </c>
      <c r="K327">
        <v>341.53</v>
      </c>
      <c r="L327">
        <v>30.79</v>
      </c>
    </row>
    <row r="328" spans="1:12" x14ac:dyDescent="0.25">
      <c r="A328">
        <v>10327</v>
      </c>
      <c r="B328" t="s">
        <v>988</v>
      </c>
      <c r="C328" t="s">
        <v>191</v>
      </c>
      <c r="D328" t="s">
        <v>544</v>
      </c>
      <c r="E328" t="s">
        <v>31</v>
      </c>
      <c r="F328" t="s">
        <v>32</v>
      </c>
      <c r="G328" t="s">
        <v>54</v>
      </c>
      <c r="H328" t="s">
        <v>27</v>
      </c>
      <c r="I328" t="s">
        <v>77</v>
      </c>
      <c r="J328">
        <v>2</v>
      </c>
      <c r="K328">
        <v>4865.2299999999996</v>
      </c>
      <c r="L328">
        <v>490.48</v>
      </c>
    </row>
    <row r="329" spans="1:12" x14ac:dyDescent="0.25">
      <c r="A329">
        <v>10328</v>
      </c>
      <c r="B329" t="s">
        <v>988</v>
      </c>
      <c r="C329" t="s">
        <v>281</v>
      </c>
      <c r="D329" t="s">
        <v>545</v>
      </c>
      <c r="E329" t="s">
        <v>13</v>
      </c>
      <c r="F329" t="s">
        <v>32</v>
      </c>
      <c r="G329" t="s">
        <v>54</v>
      </c>
      <c r="H329" t="s">
        <v>16</v>
      </c>
      <c r="I329" t="s">
        <v>81</v>
      </c>
      <c r="J329">
        <v>4</v>
      </c>
      <c r="K329">
        <v>2264.41</v>
      </c>
      <c r="L329">
        <v>589.6</v>
      </c>
    </row>
    <row r="330" spans="1:12" x14ac:dyDescent="0.25">
      <c r="A330">
        <v>10329</v>
      </c>
      <c r="B330" t="s">
        <v>988</v>
      </c>
      <c r="C330" t="s">
        <v>165</v>
      </c>
      <c r="D330" t="s">
        <v>546</v>
      </c>
      <c r="E330" t="s">
        <v>26</v>
      </c>
      <c r="F330" t="s">
        <v>32</v>
      </c>
      <c r="G330" t="s">
        <v>33</v>
      </c>
      <c r="H330" t="s">
        <v>16</v>
      </c>
      <c r="I330" t="s">
        <v>43</v>
      </c>
      <c r="J330">
        <v>2</v>
      </c>
      <c r="K330">
        <v>1624.5</v>
      </c>
      <c r="L330">
        <v>273.48</v>
      </c>
    </row>
    <row r="331" spans="1:12" x14ac:dyDescent="0.25">
      <c r="A331">
        <v>10330</v>
      </c>
      <c r="B331" t="s">
        <v>988</v>
      </c>
      <c r="C331" t="s">
        <v>547</v>
      </c>
      <c r="D331" t="s">
        <v>548</v>
      </c>
      <c r="E331" t="s">
        <v>31</v>
      </c>
      <c r="F331" t="s">
        <v>46</v>
      </c>
      <c r="G331" t="s">
        <v>71</v>
      </c>
      <c r="H331" t="s">
        <v>22</v>
      </c>
      <c r="I331" t="s">
        <v>23</v>
      </c>
      <c r="J331">
        <v>4</v>
      </c>
      <c r="K331">
        <v>262.05</v>
      </c>
      <c r="L331">
        <v>-19.62</v>
      </c>
    </row>
    <row r="332" spans="1:12" x14ac:dyDescent="0.25">
      <c r="A332">
        <v>10331</v>
      </c>
      <c r="B332" t="s">
        <v>988</v>
      </c>
      <c r="C332" t="s">
        <v>203</v>
      </c>
      <c r="D332" t="s">
        <v>549</v>
      </c>
      <c r="E332" t="s">
        <v>13</v>
      </c>
      <c r="F332" t="s">
        <v>20</v>
      </c>
      <c r="G332" t="s">
        <v>76</v>
      </c>
      <c r="H332" t="s">
        <v>16</v>
      </c>
      <c r="I332" t="s">
        <v>81</v>
      </c>
      <c r="J332">
        <v>1</v>
      </c>
      <c r="K332">
        <v>1285.5</v>
      </c>
      <c r="L332">
        <v>176.75</v>
      </c>
    </row>
    <row r="333" spans="1:12" x14ac:dyDescent="0.25">
      <c r="A333">
        <v>10332</v>
      </c>
      <c r="B333" t="s">
        <v>988</v>
      </c>
      <c r="C333" t="s">
        <v>298</v>
      </c>
      <c r="D333" t="s">
        <v>550</v>
      </c>
      <c r="E333" t="s">
        <v>26</v>
      </c>
      <c r="F333" t="s">
        <v>32</v>
      </c>
      <c r="G333" t="s">
        <v>54</v>
      </c>
      <c r="H333" t="s">
        <v>22</v>
      </c>
      <c r="I333" t="s">
        <v>38</v>
      </c>
      <c r="J333">
        <v>2</v>
      </c>
      <c r="K333">
        <v>1496.84</v>
      </c>
      <c r="L333">
        <v>203.21</v>
      </c>
    </row>
    <row r="334" spans="1:12" x14ac:dyDescent="0.25">
      <c r="A334">
        <v>10333</v>
      </c>
      <c r="B334" t="s">
        <v>988</v>
      </c>
      <c r="C334" t="s">
        <v>213</v>
      </c>
      <c r="D334" t="s">
        <v>91</v>
      </c>
      <c r="E334" t="s">
        <v>31</v>
      </c>
      <c r="F334" t="s">
        <v>46</v>
      </c>
      <c r="G334" t="s">
        <v>71</v>
      </c>
      <c r="H334" t="s">
        <v>16</v>
      </c>
      <c r="I334" t="s">
        <v>43</v>
      </c>
      <c r="J334">
        <v>5</v>
      </c>
      <c r="K334">
        <v>3292.78</v>
      </c>
      <c r="L334">
        <v>500.71</v>
      </c>
    </row>
    <row r="335" spans="1:12" x14ac:dyDescent="0.25">
      <c r="A335">
        <v>10334</v>
      </c>
      <c r="B335" t="s">
        <v>988</v>
      </c>
      <c r="C335" t="s">
        <v>326</v>
      </c>
      <c r="D335" t="s">
        <v>551</v>
      </c>
      <c r="E335" t="s">
        <v>31</v>
      </c>
      <c r="F335" t="s">
        <v>46</v>
      </c>
      <c r="G335" t="s">
        <v>71</v>
      </c>
      <c r="H335" t="s">
        <v>16</v>
      </c>
      <c r="I335" t="s">
        <v>81</v>
      </c>
      <c r="J335">
        <v>4</v>
      </c>
      <c r="K335">
        <v>1336.71</v>
      </c>
      <c r="L335">
        <v>305.33</v>
      </c>
    </row>
    <row r="336" spans="1:12" x14ac:dyDescent="0.25">
      <c r="A336">
        <v>10335</v>
      </c>
      <c r="B336" t="s">
        <v>988</v>
      </c>
      <c r="C336" t="s">
        <v>552</v>
      </c>
      <c r="D336" t="s">
        <v>553</v>
      </c>
      <c r="E336" t="s">
        <v>13</v>
      </c>
      <c r="F336" t="s">
        <v>20</v>
      </c>
      <c r="G336" t="s">
        <v>76</v>
      </c>
      <c r="H336" t="s">
        <v>27</v>
      </c>
      <c r="I336" t="s">
        <v>77</v>
      </c>
      <c r="J336">
        <v>5</v>
      </c>
      <c r="K336">
        <v>1169.22</v>
      </c>
      <c r="L336">
        <v>94.72</v>
      </c>
    </row>
    <row r="337" spans="1:12" x14ac:dyDescent="0.25">
      <c r="A337">
        <v>10336</v>
      </c>
      <c r="B337" t="s">
        <v>988</v>
      </c>
      <c r="C337" t="s">
        <v>554</v>
      </c>
      <c r="D337" t="s">
        <v>325</v>
      </c>
      <c r="E337" t="s">
        <v>31</v>
      </c>
      <c r="F337" t="s">
        <v>14</v>
      </c>
      <c r="G337" t="s">
        <v>15</v>
      </c>
      <c r="H337" t="s">
        <v>16</v>
      </c>
      <c r="I337" t="s">
        <v>17</v>
      </c>
      <c r="J337">
        <v>5</v>
      </c>
      <c r="K337">
        <v>1562.53</v>
      </c>
      <c r="L337">
        <v>113.97</v>
      </c>
    </row>
    <row r="338" spans="1:12" x14ac:dyDescent="0.25">
      <c r="A338">
        <v>10337</v>
      </c>
      <c r="B338" t="s">
        <v>988</v>
      </c>
      <c r="C338" t="s">
        <v>555</v>
      </c>
      <c r="D338" t="s">
        <v>556</v>
      </c>
      <c r="E338" t="s">
        <v>13</v>
      </c>
      <c r="F338" t="s">
        <v>32</v>
      </c>
      <c r="G338" t="s">
        <v>54</v>
      </c>
      <c r="H338" t="s">
        <v>16</v>
      </c>
      <c r="I338" t="s">
        <v>17</v>
      </c>
      <c r="J338">
        <v>4</v>
      </c>
      <c r="K338">
        <v>834.65</v>
      </c>
      <c r="L338">
        <v>111.49</v>
      </c>
    </row>
    <row r="339" spans="1:12" x14ac:dyDescent="0.25">
      <c r="A339">
        <v>10338</v>
      </c>
      <c r="B339" t="s">
        <v>988</v>
      </c>
      <c r="C339" t="s">
        <v>529</v>
      </c>
      <c r="D339" t="s">
        <v>557</v>
      </c>
      <c r="E339" t="s">
        <v>26</v>
      </c>
      <c r="F339" t="s">
        <v>32</v>
      </c>
      <c r="G339" t="s">
        <v>33</v>
      </c>
      <c r="H339" t="s">
        <v>16</v>
      </c>
      <c r="I339" t="s">
        <v>81</v>
      </c>
      <c r="J339">
        <v>8</v>
      </c>
      <c r="K339">
        <v>4987.6000000000004</v>
      </c>
      <c r="L339">
        <v>531</v>
      </c>
    </row>
    <row r="340" spans="1:12" x14ac:dyDescent="0.25">
      <c r="A340">
        <v>10339</v>
      </c>
      <c r="B340" t="s">
        <v>988</v>
      </c>
      <c r="C340" t="s">
        <v>558</v>
      </c>
      <c r="D340" t="s">
        <v>559</v>
      </c>
      <c r="E340" t="s">
        <v>13</v>
      </c>
      <c r="F340" t="s">
        <v>46</v>
      </c>
      <c r="G340" t="s">
        <v>47</v>
      </c>
      <c r="H340" t="s">
        <v>16</v>
      </c>
      <c r="I340" t="s">
        <v>43</v>
      </c>
      <c r="J340">
        <v>8</v>
      </c>
      <c r="K340">
        <v>4541.9799999999996</v>
      </c>
      <c r="L340">
        <v>939.27</v>
      </c>
    </row>
    <row r="341" spans="1:12" x14ac:dyDescent="0.25">
      <c r="A341">
        <v>10340</v>
      </c>
      <c r="B341" t="s">
        <v>988</v>
      </c>
      <c r="C341" t="s">
        <v>560</v>
      </c>
      <c r="D341" t="s">
        <v>561</v>
      </c>
      <c r="E341" t="s">
        <v>31</v>
      </c>
      <c r="F341" t="s">
        <v>46</v>
      </c>
      <c r="G341" t="s">
        <v>47</v>
      </c>
      <c r="H341" t="s">
        <v>22</v>
      </c>
      <c r="I341" t="s">
        <v>34</v>
      </c>
      <c r="J341">
        <v>3</v>
      </c>
      <c r="K341">
        <v>3730.5</v>
      </c>
      <c r="L341">
        <v>806.95</v>
      </c>
    </row>
    <row r="342" spans="1:12" x14ac:dyDescent="0.25">
      <c r="A342">
        <v>10341</v>
      </c>
      <c r="B342" t="s">
        <v>988</v>
      </c>
      <c r="C342" t="s">
        <v>562</v>
      </c>
      <c r="D342" t="s">
        <v>513</v>
      </c>
      <c r="E342" t="s">
        <v>31</v>
      </c>
      <c r="F342" t="s">
        <v>14</v>
      </c>
      <c r="G342" t="s">
        <v>15</v>
      </c>
      <c r="H342" t="s">
        <v>27</v>
      </c>
      <c r="I342" t="s">
        <v>104</v>
      </c>
      <c r="J342">
        <v>5</v>
      </c>
      <c r="K342">
        <v>2160.3200000000002</v>
      </c>
      <c r="L342">
        <v>549.80999999999995</v>
      </c>
    </row>
    <row r="343" spans="1:12" x14ac:dyDescent="0.25">
      <c r="A343">
        <v>10342</v>
      </c>
      <c r="B343" t="s">
        <v>988</v>
      </c>
      <c r="C343" t="s">
        <v>563</v>
      </c>
      <c r="D343" t="s">
        <v>506</v>
      </c>
      <c r="E343" t="s">
        <v>31</v>
      </c>
      <c r="F343" t="s">
        <v>14</v>
      </c>
      <c r="G343" t="s">
        <v>37</v>
      </c>
      <c r="H343" t="s">
        <v>22</v>
      </c>
      <c r="I343" t="s">
        <v>23</v>
      </c>
      <c r="J343">
        <v>8</v>
      </c>
      <c r="K343">
        <v>4458.1899999999996</v>
      </c>
      <c r="L343">
        <v>693.97</v>
      </c>
    </row>
    <row r="344" spans="1:12" x14ac:dyDescent="0.25">
      <c r="A344">
        <v>10343</v>
      </c>
      <c r="B344" t="s">
        <v>988</v>
      </c>
      <c r="C344" t="s">
        <v>296</v>
      </c>
      <c r="D344" t="s">
        <v>564</v>
      </c>
      <c r="E344" t="s">
        <v>31</v>
      </c>
      <c r="F344" t="s">
        <v>20</v>
      </c>
      <c r="G344" t="s">
        <v>21</v>
      </c>
      <c r="H344" t="s">
        <v>22</v>
      </c>
      <c r="I344" t="s">
        <v>48</v>
      </c>
      <c r="J344">
        <v>4</v>
      </c>
      <c r="K344">
        <v>1779.08</v>
      </c>
      <c r="L344">
        <v>438.74</v>
      </c>
    </row>
    <row r="345" spans="1:12" x14ac:dyDescent="0.25">
      <c r="A345">
        <v>10344</v>
      </c>
      <c r="B345" t="s">
        <v>988</v>
      </c>
      <c r="C345" t="s">
        <v>565</v>
      </c>
      <c r="D345" t="s">
        <v>566</v>
      </c>
      <c r="E345" t="s">
        <v>26</v>
      </c>
      <c r="F345" t="s">
        <v>46</v>
      </c>
      <c r="G345" t="s">
        <v>71</v>
      </c>
      <c r="H345" t="s">
        <v>27</v>
      </c>
      <c r="I345" t="s">
        <v>28</v>
      </c>
      <c r="J345">
        <v>3</v>
      </c>
      <c r="K345">
        <v>1635.73</v>
      </c>
      <c r="L345">
        <v>60.3</v>
      </c>
    </row>
    <row r="346" spans="1:12" x14ac:dyDescent="0.25">
      <c r="A346">
        <v>10345</v>
      </c>
      <c r="B346" t="s">
        <v>988</v>
      </c>
      <c r="C346" t="s">
        <v>567</v>
      </c>
      <c r="D346" t="s">
        <v>568</v>
      </c>
      <c r="E346" t="s">
        <v>26</v>
      </c>
      <c r="F346" t="s">
        <v>46</v>
      </c>
      <c r="G346" t="s">
        <v>47</v>
      </c>
      <c r="H346" t="s">
        <v>22</v>
      </c>
      <c r="I346" t="s">
        <v>48</v>
      </c>
      <c r="J346">
        <v>7</v>
      </c>
      <c r="K346">
        <v>3204.09</v>
      </c>
      <c r="L346">
        <v>386.8</v>
      </c>
    </row>
    <row r="347" spans="1:12" x14ac:dyDescent="0.25">
      <c r="A347">
        <v>10346</v>
      </c>
      <c r="B347" t="s">
        <v>988</v>
      </c>
      <c r="C347" t="s">
        <v>225</v>
      </c>
      <c r="D347" t="s">
        <v>188</v>
      </c>
      <c r="E347" t="s">
        <v>31</v>
      </c>
      <c r="F347" t="s">
        <v>46</v>
      </c>
      <c r="G347" t="s">
        <v>47</v>
      </c>
      <c r="H347" t="s">
        <v>22</v>
      </c>
      <c r="I347" t="s">
        <v>38</v>
      </c>
      <c r="J347">
        <v>4</v>
      </c>
      <c r="K347">
        <v>187.79</v>
      </c>
      <c r="L347">
        <v>-63.78</v>
      </c>
    </row>
    <row r="348" spans="1:12" x14ac:dyDescent="0.25">
      <c r="A348">
        <v>10347</v>
      </c>
      <c r="B348" t="s">
        <v>988</v>
      </c>
      <c r="C348" t="s">
        <v>569</v>
      </c>
      <c r="D348" t="s">
        <v>570</v>
      </c>
      <c r="E348" t="s">
        <v>13</v>
      </c>
      <c r="F348" t="s">
        <v>32</v>
      </c>
      <c r="G348" t="s">
        <v>33</v>
      </c>
      <c r="H348" t="s">
        <v>22</v>
      </c>
      <c r="I348" t="s">
        <v>34</v>
      </c>
      <c r="J348">
        <v>5</v>
      </c>
      <c r="K348">
        <v>918.4</v>
      </c>
      <c r="L348">
        <v>205.25</v>
      </c>
    </row>
    <row r="349" spans="1:12" x14ac:dyDescent="0.25">
      <c r="A349">
        <v>10348</v>
      </c>
      <c r="B349" t="s">
        <v>988</v>
      </c>
      <c r="C349" t="s">
        <v>179</v>
      </c>
      <c r="D349" t="s">
        <v>571</v>
      </c>
      <c r="E349" t="s">
        <v>31</v>
      </c>
      <c r="F349" t="s">
        <v>32</v>
      </c>
      <c r="G349" t="s">
        <v>54</v>
      </c>
      <c r="H349" t="s">
        <v>16</v>
      </c>
      <c r="I349" t="s">
        <v>43</v>
      </c>
      <c r="J349">
        <v>6</v>
      </c>
      <c r="K349">
        <v>4981.08</v>
      </c>
      <c r="L349">
        <v>784.45</v>
      </c>
    </row>
    <row r="350" spans="1:12" x14ac:dyDescent="0.25">
      <c r="A350">
        <v>10349</v>
      </c>
      <c r="B350" t="s">
        <v>988</v>
      </c>
      <c r="C350" t="s">
        <v>313</v>
      </c>
      <c r="D350" t="s">
        <v>320</v>
      </c>
      <c r="E350" t="s">
        <v>13</v>
      </c>
      <c r="F350" t="s">
        <v>14</v>
      </c>
      <c r="G350" t="s">
        <v>15</v>
      </c>
      <c r="H350" t="s">
        <v>22</v>
      </c>
      <c r="I350" t="s">
        <v>48</v>
      </c>
      <c r="J350">
        <v>4</v>
      </c>
      <c r="K350">
        <v>3696.98</v>
      </c>
      <c r="L350">
        <v>712.97</v>
      </c>
    </row>
    <row r="351" spans="1:12" x14ac:dyDescent="0.25">
      <c r="A351">
        <v>10350</v>
      </c>
      <c r="B351" t="s">
        <v>988</v>
      </c>
      <c r="C351" t="s">
        <v>136</v>
      </c>
      <c r="D351" t="s">
        <v>572</v>
      </c>
      <c r="E351" t="s">
        <v>13</v>
      </c>
      <c r="F351" t="s">
        <v>14</v>
      </c>
      <c r="G351" t="s">
        <v>37</v>
      </c>
      <c r="H351" t="s">
        <v>16</v>
      </c>
      <c r="I351" t="s">
        <v>17</v>
      </c>
      <c r="J351">
        <v>1</v>
      </c>
      <c r="K351">
        <v>3010.23</v>
      </c>
      <c r="L351">
        <v>175.79</v>
      </c>
    </row>
    <row r="352" spans="1:12" x14ac:dyDescent="0.25">
      <c r="A352">
        <v>10351</v>
      </c>
      <c r="B352" t="s">
        <v>988</v>
      </c>
      <c r="C352" t="s">
        <v>573</v>
      </c>
      <c r="D352" t="s">
        <v>574</v>
      </c>
      <c r="E352" t="s">
        <v>13</v>
      </c>
      <c r="F352" t="s">
        <v>14</v>
      </c>
      <c r="G352" t="s">
        <v>37</v>
      </c>
      <c r="H352" t="s">
        <v>27</v>
      </c>
      <c r="I352" t="s">
        <v>77</v>
      </c>
      <c r="J352">
        <v>2</v>
      </c>
      <c r="K352">
        <v>2781.68</v>
      </c>
      <c r="L352">
        <v>453.68</v>
      </c>
    </row>
    <row r="353" spans="1:12" x14ac:dyDescent="0.25">
      <c r="A353">
        <v>10352</v>
      </c>
      <c r="B353" t="s">
        <v>988</v>
      </c>
      <c r="C353" t="s">
        <v>94</v>
      </c>
      <c r="D353" t="s">
        <v>575</v>
      </c>
      <c r="E353" t="s">
        <v>13</v>
      </c>
      <c r="F353" t="s">
        <v>14</v>
      </c>
      <c r="G353" t="s">
        <v>37</v>
      </c>
      <c r="H353" t="s">
        <v>27</v>
      </c>
      <c r="I353" t="s">
        <v>118</v>
      </c>
      <c r="J353">
        <v>5</v>
      </c>
      <c r="K353">
        <v>3151.71</v>
      </c>
      <c r="L353">
        <v>667.82</v>
      </c>
    </row>
    <row r="354" spans="1:12" x14ac:dyDescent="0.25">
      <c r="A354">
        <v>10353</v>
      </c>
      <c r="B354" t="s">
        <v>988</v>
      </c>
      <c r="C354" t="s">
        <v>88</v>
      </c>
      <c r="D354" t="s">
        <v>576</v>
      </c>
      <c r="E354" t="s">
        <v>31</v>
      </c>
      <c r="F354" t="s">
        <v>14</v>
      </c>
      <c r="G354" t="s">
        <v>37</v>
      </c>
      <c r="H354" t="s">
        <v>22</v>
      </c>
      <c r="I354" t="s">
        <v>23</v>
      </c>
      <c r="J354">
        <v>8</v>
      </c>
      <c r="K354">
        <v>1073.3699999999999</v>
      </c>
      <c r="L354">
        <v>80.97</v>
      </c>
    </row>
    <row r="355" spans="1:12" x14ac:dyDescent="0.25">
      <c r="A355">
        <v>10354</v>
      </c>
      <c r="B355" t="s">
        <v>988</v>
      </c>
      <c r="C355" t="s">
        <v>577</v>
      </c>
      <c r="D355" t="s">
        <v>578</v>
      </c>
      <c r="E355" t="s">
        <v>26</v>
      </c>
      <c r="F355" t="s">
        <v>20</v>
      </c>
      <c r="G355" t="s">
        <v>76</v>
      </c>
      <c r="H355" t="s">
        <v>22</v>
      </c>
      <c r="I355" t="s">
        <v>23</v>
      </c>
      <c r="J355">
        <v>8</v>
      </c>
      <c r="K355">
        <v>4560.75</v>
      </c>
      <c r="L355">
        <v>964.65</v>
      </c>
    </row>
    <row r="356" spans="1:12" x14ac:dyDescent="0.25">
      <c r="A356">
        <v>10355</v>
      </c>
      <c r="B356" t="s">
        <v>988</v>
      </c>
      <c r="C356" t="s">
        <v>579</v>
      </c>
      <c r="D356" t="s">
        <v>580</v>
      </c>
      <c r="E356" t="s">
        <v>13</v>
      </c>
      <c r="F356" t="s">
        <v>14</v>
      </c>
      <c r="G356" t="s">
        <v>15</v>
      </c>
      <c r="H356" t="s">
        <v>16</v>
      </c>
      <c r="I356" t="s">
        <v>51</v>
      </c>
      <c r="J356">
        <v>3</v>
      </c>
      <c r="K356">
        <v>4752.29</v>
      </c>
      <c r="L356">
        <v>1156.24</v>
      </c>
    </row>
    <row r="357" spans="1:12" x14ac:dyDescent="0.25">
      <c r="A357">
        <v>10356</v>
      </c>
      <c r="B357" t="s">
        <v>988</v>
      </c>
      <c r="C357" t="s">
        <v>569</v>
      </c>
      <c r="D357" t="s">
        <v>581</v>
      </c>
      <c r="E357" t="s">
        <v>13</v>
      </c>
      <c r="F357" t="s">
        <v>46</v>
      </c>
      <c r="G357" t="s">
        <v>47</v>
      </c>
      <c r="H357" t="s">
        <v>27</v>
      </c>
      <c r="I357" t="s">
        <v>28</v>
      </c>
      <c r="J357">
        <v>8</v>
      </c>
      <c r="K357">
        <v>345.39</v>
      </c>
      <c r="L357">
        <v>7.0000000000000007E-2</v>
      </c>
    </row>
    <row r="358" spans="1:12" x14ac:dyDescent="0.25">
      <c r="A358">
        <v>10357</v>
      </c>
      <c r="B358" t="s">
        <v>988</v>
      </c>
      <c r="C358" t="s">
        <v>358</v>
      </c>
      <c r="D358" t="s">
        <v>582</v>
      </c>
      <c r="E358" t="s">
        <v>13</v>
      </c>
      <c r="F358" t="s">
        <v>32</v>
      </c>
      <c r="G358" t="s">
        <v>54</v>
      </c>
      <c r="H358" t="s">
        <v>16</v>
      </c>
      <c r="I358" t="s">
        <v>81</v>
      </c>
      <c r="J358">
        <v>2</v>
      </c>
      <c r="K358">
        <v>4271.1000000000004</v>
      </c>
      <c r="L358">
        <v>1163.22</v>
      </c>
    </row>
    <row r="359" spans="1:12" x14ac:dyDescent="0.25">
      <c r="A359">
        <v>10358</v>
      </c>
      <c r="B359" t="s">
        <v>988</v>
      </c>
      <c r="C359" t="s">
        <v>560</v>
      </c>
      <c r="D359" t="s">
        <v>583</v>
      </c>
      <c r="E359" t="s">
        <v>31</v>
      </c>
      <c r="F359" t="s">
        <v>46</v>
      </c>
      <c r="G359" t="s">
        <v>47</v>
      </c>
      <c r="H359" t="s">
        <v>27</v>
      </c>
      <c r="I359" t="s">
        <v>77</v>
      </c>
      <c r="J359">
        <v>5</v>
      </c>
      <c r="K359">
        <v>4404.53</v>
      </c>
      <c r="L359">
        <v>241.08</v>
      </c>
    </row>
    <row r="360" spans="1:12" x14ac:dyDescent="0.25">
      <c r="A360">
        <v>10359</v>
      </c>
      <c r="B360" t="s">
        <v>988</v>
      </c>
      <c r="C360" t="s">
        <v>374</v>
      </c>
      <c r="D360" t="s">
        <v>464</v>
      </c>
      <c r="E360" t="s">
        <v>13</v>
      </c>
      <c r="F360" t="s">
        <v>20</v>
      </c>
      <c r="G360" t="s">
        <v>76</v>
      </c>
      <c r="H360" t="s">
        <v>27</v>
      </c>
      <c r="I360" t="s">
        <v>77</v>
      </c>
      <c r="J360">
        <v>8</v>
      </c>
      <c r="K360">
        <v>4019.51</v>
      </c>
      <c r="L360">
        <v>773.3</v>
      </c>
    </row>
    <row r="361" spans="1:12" x14ac:dyDescent="0.25">
      <c r="A361">
        <v>10360</v>
      </c>
      <c r="B361" t="s">
        <v>988</v>
      </c>
      <c r="C361" t="s">
        <v>144</v>
      </c>
      <c r="D361" t="s">
        <v>584</v>
      </c>
      <c r="E361" t="s">
        <v>31</v>
      </c>
      <c r="F361" t="s">
        <v>14</v>
      </c>
      <c r="G361" t="s">
        <v>15</v>
      </c>
      <c r="H361" t="s">
        <v>22</v>
      </c>
      <c r="I361" t="s">
        <v>34</v>
      </c>
      <c r="J361">
        <v>8</v>
      </c>
      <c r="K361">
        <v>4031.1</v>
      </c>
      <c r="L361">
        <v>867.1</v>
      </c>
    </row>
    <row r="362" spans="1:12" x14ac:dyDescent="0.25">
      <c r="A362">
        <v>10361</v>
      </c>
      <c r="B362" t="s">
        <v>988</v>
      </c>
      <c r="C362" t="s">
        <v>121</v>
      </c>
      <c r="D362" t="s">
        <v>352</v>
      </c>
      <c r="E362" t="s">
        <v>26</v>
      </c>
      <c r="F362" t="s">
        <v>14</v>
      </c>
      <c r="G362" t="s">
        <v>15</v>
      </c>
      <c r="H362" t="s">
        <v>27</v>
      </c>
      <c r="I362" t="s">
        <v>77</v>
      </c>
      <c r="J362">
        <v>2</v>
      </c>
      <c r="K362">
        <v>4449.21</v>
      </c>
      <c r="L362">
        <v>706.31</v>
      </c>
    </row>
    <row r="363" spans="1:12" x14ac:dyDescent="0.25">
      <c r="A363">
        <v>10362</v>
      </c>
      <c r="B363" t="s">
        <v>988</v>
      </c>
      <c r="C363" t="s">
        <v>585</v>
      </c>
      <c r="D363" t="s">
        <v>329</v>
      </c>
      <c r="E363" t="s">
        <v>31</v>
      </c>
      <c r="F363" t="s">
        <v>46</v>
      </c>
      <c r="G363" t="s">
        <v>47</v>
      </c>
      <c r="H363" t="s">
        <v>16</v>
      </c>
      <c r="I363" t="s">
        <v>81</v>
      </c>
      <c r="J363">
        <v>7</v>
      </c>
      <c r="K363">
        <v>3342.39</v>
      </c>
      <c r="L363">
        <v>340.25</v>
      </c>
    </row>
    <row r="364" spans="1:12" x14ac:dyDescent="0.25">
      <c r="A364">
        <v>10363</v>
      </c>
      <c r="B364" t="s">
        <v>988</v>
      </c>
      <c r="C364" t="s">
        <v>586</v>
      </c>
      <c r="D364" t="s">
        <v>309</v>
      </c>
      <c r="E364" t="s">
        <v>26</v>
      </c>
      <c r="F364" t="s">
        <v>46</v>
      </c>
      <c r="G364" t="s">
        <v>71</v>
      </c>
      <c r="H364" t="s">
        <v>22</v>
      </c>
      <c r="I364" t="s">
        <v>48</v>
      </c>
      <c r="J364">
        <v>8</v>
      </c>
      <c r="K364">
        <v>4274.17</v>
      </c>
      <c r="L364">
        <v>1135.23</v>
      </c>
    </row>
    <row r="365" spans="1:12" x14ac:dyDescent="0.25">
      <c r="A365">
        <v>10364</v>
      </c>
      <c r="B365" t="s">
        <v>988</v>
      </c>
      <c r="C365" t="s">
        <v>251</v>
      </c>
      <c r="D365" t="s">
        <v>587</v>
      </c>
      <c r="E365" t="s">
        <v>26</v>
      </c>
      <c r="F365" t="s">
        <v>32</v>
      </c>
      <c r="G365" t="s">
        <v>54</v>
      </c>
      <c r="H365" t="s">
        <v>22</v>
      </c>
      <c r="I365" t="s">
        <v>48</v>
      </c>
      <c r="J365">
        <v>7</v>
      </c>
      <c r="K365">
        <v>2076.06</v>
      </c>
      <c r="L365">
        <v>179.86</v>
      </c>
    </row>
    <row r="366" spans="1:12" x14ac:dyDescent="0.25">
      <c r="A366">
        <v>10365</v>
      </c>
      <c r="B366" t="s">
        <v>988</v>
      </c>
      <c r="C366" t="s">
        <v>362</v>
      </c>
      <c r="D366" t="s">
        <v>588</v>
      </c>
      <c r="E366" t="s">
        <v>13</v>
      </c>
      <c r="F366" t="s">
        <v>20</v>
      </c>
      <c r="G366" t="s">
        <v>76</v>
      </c>
      <c r="H366" t="s">
        <v>27</v>
      </c>
      <c r="I366" t="s">
        <v>118</v>
      </c>
      <c r="J366">
        <v>8</v>
      </c>
      <c r="K366">
        <v>3751.67</v>
      </c>
      <c r="L366">
        <v>163.91</v>
      </c>
    </row>
    <row r="367" spans="1:12" x14ac:dyDescent="0.25">
      <c r="A367">
        <v>10366</v>
      </c>
      <c r="B367" t="s">
        <v>988</v>
      </c>
      <c r="C367" t="s">
        <v>171</v>
      </c>
      <c r="D367" t="s">
        <v>291</v>
      </c>
      <c r="E367" t="s">
        <v>26</v>
      </c>
      <c r="F367" t="s">
        <v>14</v>
      </c>
      <c r="G367" t="s">
        <v>15</v>
      </c>
      <c r="H367" t="s">
        <v>16</v>
      </c>
      <c r="I367" t="s">
        <v>17</v>
      </c>
      <c r="J367">
        <v>4</v>
      </c>
      <c r="K367">
        <v>3307.52</v>
      </c>
      <c r="L367">
        <v>508.52</v>
      </c>
    </row>
    <row r="368" spans="1:12" x14ac:dyDescent="0.25">
      <c r="A368">
        <v>10367</v>
      </c>
      <c r="B368" t="s">
        <v>988</v>
      </c>
      <c r="C368" t="s">
        <v>290</v>
      </c>
      <c r="D368" t="s">
        <v>578</v>
      </c>
      <c r="E368" t="s">
        <v>31</v>
      </c>
      <c r="F368" t="s">
        <v>20</v>
      </c>
      <c r="G368" t="s">
        <v>76</v>
      </c>
      <c r="H368" t="s">
        <v>16</v>
      </c>
      <c r="I368" t="s">
        <v>51</v>
      </c>
      <c r="J368">
        <v>6</v>
      </c>
      <c r="K368">
        <v>3607.98</v>
      </c>
      <c r="L368">
        <v>207.32</v>
      </c>
    </row>
    <row r="369" spans="1:12" x14ac:dyDescent="0.25">
      <c r="A369">
        <v>10368</v>
      </c>
      <c r="B369" t="s">
        <v>988</v>
      </c>
      <c r="C369" t="s">
        <v>176</v>
      </c>
      <c r="D369" t="s">
        <v>589</v>
      </c>
      <c r="E369" t="s">
        <v>31</v>
      </c>
      <c r="F369" t="s">
        <v>32</v>
      </c>
      <c r="G369" t="s">
        <v>54</v>
      </c>
      <c r="H369" t="s">
        <v>16</v>
      </c>
      <c r="I369" t="s">
        <v>17</v>
      </c>
      <c r="J369">
        <v>2</v>
      </c>
      <c r="K369">
        <v>324.31</v>
      </c>
      <c r="L369">
        <v>15.48</v>
      </c>
    </row>
    <row r="370" spans="1:12" x14ac:dyDescent="0.25">
      <c r="A370">
        <v>10369</v>
      </c>
      <c r="B370" t="s">
        <v>988</v>
      </c>
      <c r="C370" t="s">
        <v>517</v>
      </c>
      <c r="D370" t="s">
        <v>590</v>
      </c>
      <c r="E370" t="s">
        <v>31</v>
      </c>
      <c r="F370" t="s">
        <v>46</v>
      </c>
      <c r="G370" t="s">
        <v>71</v>
      </c>
      <c r="H370" t="s">
        <v>22</v>
      </c>
      <c r="I370" t="s">
        <v>34</v>
      </c>
      <c r="J370">
        <v>4</v>
      </c>
      <c r="K370">
        <v>2339.5300000000002</v>
      </c>
      <c r="L370">
        <v>502.34</v>
      </c>
    </row>
    <row r="371" spans="1:12" x14ac:dyDescent="0.25">
      <c r="A371">
        <v>10370</v>
      </c>
      <c r="B371" t="s">
        <v>988</v>
      </c>
      <c r="C371" t="s">
        <v>67</v>
      </c>
      <c r="D371" t="s">
        <v>591</v>
      </c>
      <c r="E371" t="s">
        <v>13</v>
      </c>
      <c r="F371" t="s">
        <v>14</v>
      </c>
      <c r="G371" t="s">
        <v>15</v>
      </c>
      <c r="H371" t="s">
        <v>27</v>
      </c>
      <c r="I371" t="s">
        <v>77</v>
      </c>
      <c r="J371">
        <v>3</v>
      </c>
      <c r="K371">
        <v>4822.8900000000003</v>
      </c>
      <c r="L371">
        <v>172.75</v>
      </c>
    </row>
    <row r="372" spans="1:12" x14ac:dyDescent="0.25">
      <c r="A372">
        <v>10371</v>
      </c>
      <c r="B372" t="s">
        <v>988</v>
      </c>
      <c r="C372" t="s">
        <v>457</v>
      </c>
      <c r="D372" t="s">
        <v>592</v>
      </c>
      <c r="E372" t="s">
        <v>31</v>
      </c>
      <c r="F372" t="s">
        <v>20</v>
      </c>
      <c r="G372" t="s">
        <v>21</v>
      </c>
      <c r="H372" t="s">
        <v>16</v>
      </c>
      <c r="I372" t="s">
        <v>43</v>
      </c>
      <c r="J372">
        <v>3</v>
      </c>
      <c r="K372">
        <v>607.41</v>
      </c>
      <c r="L372">
        <v>69.599999999999994</v>
      </c>
    </row>
    <row r="373" spans="1:12" x14ac:dyDescent="0.25">
      <c r="A373">
        <v>10372</v>
      </c>
      <c r="B373" t="s">
        <v>988</v>
      </c>
      <c r="C373" t="s">
        <v>593</v>
      </c>
      <c r="D373" t="s">
        <v>594</v>
      </c>
      <c r="E373" t="s">
        <v>13</v>
      </c>
      <c r="F373" t="s">
        <v>20</v>
      </c>
      <c r="G373" t="s">
        <v>21</v>
      </c>
      <c r="H373" t="s">
        <v>27</v>
      </c>
      <c r="I373" t="s">
        <v>77</v>
      </c>
      <c r="J373">
        <v>6</v>
      </c>
      <c r="K373">
        <v>4855.41</v>
      </c>
      <c r="L373">
        <v>779.12</v>
      </c>
    </row>
    <row r="374" spans="1:12" x14ac:dyDescent="0.25">
      <c r="A374">
        <v>10373</v>
      </c>
      <c r="B374" t="s">
        <v>988</v>
      </c>
      <c r="C374" t="s">
        <v>227</v>
      </c>
      <c r="D374" t="s">
        <v>464</v>
      </c>
      <c r="E374" t="s">
        <v>13</v>
      </c>
      <c r="F374" t="s">
        <v>32</v>
      </c>
      <c r="G374" t="s">
        <v>54</v>
      </c>
      <c r="H374" t="s">
        <v>16</v>
      </c>
      <c r="I374" t="s">
        <v>43</v>
      </c>
      <c r="J374">
        <v>4</v>
      </c>
      <c r="K374">
        <v>1127.5899999999999</v>
      </c>
      <c r="L374">
        <v>189.1</v>
      </c>
    </row>
    <row r="375" spans="1:12" x14ac:dyDescent="0.25">
      <c r="A375">
        <v>10374</v>
      </c>
      <c r="B375" t="s">
        <v>988</v>
      </c>
      <c r="C375" t="s">
        <v>326</v>
      </c>
      <c r="D375" t="s">
        <v>595</v>
      </c>
      <c r="E375" t="s">
        <v>13</v>
      </c>
      <c r="F375" t="s">
        <v>46</v>
      </c>
      <c r="G375" t="s">
        <v>47</v>
      </c>
      <c r="H375" t="s">
        <v>16</v>
      </c>
      <c r="I375" t="s">
        <v>81</v>
      </c>
      <c r="J375">
        <v>6</v>
      </c>
      <c r="K375">
        <v>2855.17</v>
      </c>
      <c r="L375">
        <v>464.49</v>
      </c>
    </row>
    <row r="376" spans="1:12" x14ac:dyDescent="0.25">
      <c r="A376">
        <v>10375</v>
      </c>
      <c r="B376" t="s">
        <v>988</v>
      </c>
      <c r="C376" t="s">
        <v>596</v>
      </c>
      <c r="D376" t="s">
        <v>127</v>
      </c>
      <c r="E376" t="s">
        <v>26</v>
      </c>
      <c r="F376" t="s">
        <v>32</v>
      </c>
      <c r="G376" t="s">
        <v>54</v>
      </c>
      <c r="H376" t="s">
        <v>22</v>
      </c>
      <c r="I376" t="s">
        <v>23</v>
      </c>
      <c r="J376">
        <v>1</v>
      </c>
      <c r="K376">
        <v>1966.26</v>
      </c>
      <c r="L376">
        <v>118.74</v>
      </c>
    </row>
    <row r="377" spans="1:12" x14ac:dyDescent="0.25">
      <c r="A377">
        <v>10376</v>
      </c>
      <c r="B377" t="s">
        <v>988</v>
      </c>
      <c r="C377" t="s">
        <v>597</v>
      </c>
      <c r="D377" t="s">
        <v>417</v>
      </c>
      <c r="E377" t="s">
        <v>13</v>
      </c>
      <c r="F377" t="s">
        <v>32</v>
      </c>
      <c r="G377" t="s">
        <v>54</v>
      </c>
      <c r="H377" t="s">
        <v>22</v>
      </c>
      <c r="I377" t="s">
        <v>23</v>
      </c>
      <c r="J377">
        <v>5</v>
      </c>
      <c r="K377">
        <v>1099.5999999999999</v>
      </c>
      <c r="L377">
        <v>167.88</v>
      </c>
    </row>
    <row r="378" spans="1:12" x14ac:dyDescent="0.25">
      <c r="A378">
        <v>10377</v>
      </c>
      <c r="B378" t="s">
        <v>988</v>
      </c>
      <c r="C378" t="s">
        <v>279</v>
      </c>
      <c r="D378" t="s">
        <v>598</v>
      </c>
      <c r="E378" t="s">
        <v>13</v>
      </c>
      <c r="F378" t="s">
        <v>46</v>
      </c>
      <c r="G378" t="s">
        <v>47</v>
      </c>
      <c r="H378" t="s">
        <v>22</v>
      </c>
      <c r="I378" t="s">
        <v>38</v>
      </c>
      <c r="J378">
        <v>1</v>
      </c>
      <c r="K378">
        <v>4639.78</v>
      </c>
      <c r="L378">
        <v>585.86</v>
      </c>
    </row>
    <row r="379" spans="1:12" x14ac:dyDescent="0.25">
      <c r="A379">
        <v>10378</v>
      </c>
      <c r="B379" t="s">
        <v>988</v>
      </c>
      <c r="C379" t="s">
        <v>225</v>
      </c>
      <c r="D379" t="s">
        <v>599</v>
      </c>
      <c r="E379" t="s">
        <v>13</v>
      </c>
      <c r="F379" t="s">
        <v>14</v>
      </c>
      <c r="G379" t="s">
        <v>15</v>
      </c>
      <c r="H379" t="s">
        <v>16</v>
      </c>
      <c r="I379" t="s">
        <v>17</v>
      </c>
      <c r="J379">
        <v>4</v>
      </c>
      <c r="K379">
        <v>3140.75</v>
      </c>
      <c r="L379">
        <v>683.2</v>
      </c>
    </row>
    <row r="380" spans="1:12" x14ac:dyDescent="0.25">
      <c r="A380">
        <v>10379</v>
      </c>
      <c r="B380" t="s">
        <v>988</v>
      </c>
      <c r="C380" t="s">
        <v>317</v>
      </c>
      <c r="D380" t="s">
        <v>600</v>
      </c>
      <c r="E380" t="s">
        <v>13</v>
      </c>
      <c r="F380" t="s">
        <v>32</v>
      </c>
      <c r="G380" t="s">
        <v>33</v>
      </c>
      <c r="H380" t="s">
        <v>16</v>
      </c>
      <c r="I380" t="s">
        <v>43</v>
      </c>
      <c r="J380">
        <v>5</v>
      </c>
      <c r="K380">
        <v>2299.19</v>
      </c>
      <c r="L380">
        <v>672.8</v>
      </c>
    </row>
    <row r="381" spans="1:12" x14ac:dyDescent="0.25">
      <c r="A381">
        <v>10380</v>
      </c>
      <c r="B381" t="s">
        <v>988</v>
      </c>
      <c r="C381" t="s">
        <v>486</v>
      </c>
      <c r="D381" t="s">
        <v>359</v>
      </c>
      <c r="E381" t="s">
        <v>31</v>
      </c>
      <c r="F381" t="s">
        <v>14</v>
      </c>
      <c r="G381" t="s">
        <v>37</v>
      </c>
      <c r="H381" t="s">
        <v>22</v>
      </c>
      <c r="I381" t="s">
        <v>34</v>
      </c>
      <c r="J381">
        <v>5</v>
      </c>
      <c r="K381">
        <v>2827.33</v>
      </c>
      <c r="L381">
        <v>174.9</v>
      </c>
    </row>
    <row r="382" spans="1:12" x14ac:dyDescent="0.25">
      <c r="A382">
        <v>10381</v>
      </c>
      <c r="B382" t="s">
        <v>988</v>
      </c>
      <c r="C382" t="s">
        <v>601</v>
      </c>
      <c r="D382" t="s">
        <v>602</v>
      </c>
      <c r="E382" t="s">
        <v>31</v>
      </c>
      <c r="F382" t="s">
        <v>20</v>
      </c>
      <c r="G382" t="s">
        <v>21</v>
      </c>
      <c r="H382" t="s">
        <v>22</v>
      </c>
      <c r="I382" t="s">
        <v>48</v>
      </c>
      <c r="J382">
        <v>6</v>
      </c>
      <c r="K382">
        <v>3024.71</v>
      </c>
      <c r="L382">
        <v>673.72</v>
      </c>
    </row>
    <row r="383" spans="1:12" x14ac:dyDescent="0.25">
      <c r="A383">
        <v>10382</v>
      </c>
      <c r="B383" t="s">
        <v>988</v>
      </c>
      <c r="C383" t="s">
        <v>603</v>
      </c>
      <c r="D383" t="s">
        <v>604</v>
      </c>
      <c r="E383" t="s">
        <v>13</v>
      </c>
      <c r="F383" t="s">
        <v>32</v>
      </c>
      <c r="G383" t="s">
        <v>33</v>
      </c>
      <c r="H383" t="s">
        <v>16</v>
      </c>
      <c r="I383" t="s">
        <v>17</v>
      </c>
      <c r="J383">
        <v>4</v>
      </c>
      <c r="K383">
        <v>4789.24</v>
      </c>
      <c r="L383">
        <v>784.16</v>
      </c>
    </row>
    <row r="384" spans="1:12" x14ac:dyDescent="0.25">
      <c r="A384">
        <v>10383</v>
      </c>
      <c r="B384" t="s">
        <v>988</v>
      </c>
      <c r="C384" t="s">
        <v>264</v>
      </c>
      <c r="D384" t="s">
        <v>605</v>
      </c>
      <c r="E384" t="s">
        <v>31</v>
      </c>
      <c r="F384" t="s">
        <v>20</v>
      </c>
      <c r="G384" t="s">
        <v>21</v>
      </c>
      <c r="H384" t="s">
        <v>27</v>
      </c>
      <c r="I384" t="s">
        <v>104</v>
      </c>
      <c r="J384">
        <v>4</v>
      </c>
      <c r="K384">
        <v>3350.34</v>
      </c>
      <c r="L384">
        <v>415.46</v>
      </c>
    </row>
    <row r="385" spans="1:12" x14ac:dyDescent="0.25">
      <c r="A385">
        <v>10384</v>
      </c>
      <c r="B385" t="s">
        <v>988</v>
      </c>
      <c r="C385" t="s">
        <v>357</v>
      </c>
      <c r="D385" t="s">
        <v>606</v>
      </c>
      <c r="E385" t="s">
        <v>13</v>
      </c>
      <c r="F385" t="s">
        <v>14</v>
      </c>
      <c r="G385" t="s">
        <v>15</v>
      </c>
      <c r="H385" t="s">
        <v>16</v>
      </c>
      <c r="I385" t="s">
        <v>17</v>
      </c>
      <c r="J385">
        <v>8</v>
      </c>
      <c r="K385">
        <v>1277.7</v>
      </c>
      <c r="L385">
        <v>177.18</v>
      </c>
    </row>
    <row r="386" spans="1:12" x14ac:dyDescent="0.25">
      <c r="A386">
        <v>10385</v>
      </c>
      <c r="B386" t="s">
        <v>988</v>
      </c>
      <c r="C386" t="s">
        <v>211</v>
      </c>
      <c r="D386" t="s">
        <v>607</v>
      </c>
      <c r="E386" t="s">
        <v>13</v>
      </c>
      <c r="F386" t="s">
        <v>32</v>
      </c>
      <c r="G386" t="s">
        <v>54</v>
      </c>
      <c r="H386" t="s">
        <v>22</v>
      </c>
      <c r="I386" t="s">
        <v>34</v>
      </c>
      <c r="J386">
        <v>5</v>
      </c>
      <c r="K386">
        <v>2747.16</v>
      </c>
      <c r="L386">
        <v>240.47</v>
      </c>
    </row>
    <row r="387" spans="1:12" x14ac:dyDescent="0.25">
      <c r="A387">
        <v>10386</v>
      </c>
      <c r="B387" t="s">
        <v>988</v>
      </c>
      <c r="C387" t="s">
        <v>114</v>
      </c>
      <c r="D387" t="s">
        <v>285</v>
      </c>
      <c r="E387" t="s">
        <v>26</v>
      </c>
      <c r="F387" t="s">
        <v>20</v>
      </c>
      <c r="G387" t="s">
        <v>76</v>
      </c>
      <c r="H387" t="s">
        <v>22</v>
      </c>
      <c r="I387" t="s">
        <v>38</v>
      </c>
      <c r="J387">
        <v>4</v>
      </c>
      <c r="K387">
        <v>1669.53</v>
      </c>
      <c r="L387">
        <v>108.25</v>
      </c>
    </row>
    <row r="388" spans="1:12" x14ac:dyDescent="0.25">
      <c r="A388">
        <v>10387</v>
      </c>
      <c r="B388" t="s">
        <v>988</v>
      </c>
      <c r="C388" t="s">
        <v>421</v>
      </c>
      <c r="D388" t="s">
        <v>608</v>
      </c>
      <c r="E388" t="s">
        <v>26</v>
      </c>
      <c r="F388" t="s">
        <v>14</v>
      </c>
      <c r="G388" t="s">
        <v>15</v>
      </c>
      <c r="H388" t="s">
        <v>16</v>
      </c>
      <c r="I388" t="s">
        <v>43</v>
      </c>
      <c r="J388">
        <v>7</v>
      </c>
      <c r="K388">
        <v>4194.76</v>
      </c>
      <c r="L388">
        <v>342.45</v>
      </c>
    </row>
    <row r="389" spans="1:12" x14ac:dyDescent="0.25">
      <c r="A389">
        <v>10388</v>
      </c>
      <c r="B389" t="s">
        <v>988</v>
      </c>
      <c r="C389" t="s">
        <v>353</v>
      </c>
      <c r="D389" t="s">
        <v>609</v>
      </c>
      <c r="E389" t="s">
        <v>13</v>
      </c>
      <c r="F389" t="s">
        <v>46</v>
      </c>
      <c r="G389" t="s">
        <v>71</v>
      </c>
      <c r="H389" t="s">
        <v>27</v>
      </c>
      <c r="I389" t="s">
        <v>28</v>
      </c>
      <c r="J389">
        <v>1</v>
      </c>
      <c r="K389">
        <v>528.85</v>
      </c>
      <c r="L389">
        <v>-45.8</v>
      </c>
    </row>
    <row r="390" spans="1:12" x14ac:dyDescent="0.25">
      <c r="A390">
        <v>10389</v>
      </c>
      <c r="B390" t="s">
        <v>988</v>
      </c>
      <c r="C390" t="s">
        <v>227</v>
      </c>
      <c r="D390" t="s">
        <v>610</v>
      </c>
      <c r="E390" t="s">
        <v>13</v>
      </c>
      <c r="F390" t="s">
        <v>46</v>
      </c>
      <c r="G390" t="s">
        <v>47</v>
      </c>
      <c r="H390" t="s">
        <v>27</v>
      </c>
      <c r="I390" t="s">
        <v>77</v>
      </c>
      <c r="J390">
        <v>8</v>
      </c>
      <c r="K390">
        <v>3188.06</v>
      </c>
      <c r="L390">
        <v>502.84</v>
      </c>
    </row>
    <row r="391" spans="1:12" x14ac:dyDescent="0.25">
      <c r="A391">
        <v>10390</v>
      </c>
      <c r="B391" t="s">
        <v>988</v>
      </c>
      <c r="C391" t="s">
        <v>96</v>
      </c>
      <c r="D391" t="s">
        <v>602</v>
      </c>
      <c r="E391" t="s">
        <v>13</v>
      </c>
      <c r="F391" t="s">
        <v>14</v>
      </c>
      <c r="G391" t="s">
        <v>15</v>
      </c>
      <c r="H391" t="s">
        <v>16</v>
      </c>
      <c r="I391" t="s">
        <v>81</v>
      </c>
      <c r="J391">
        <v>2</v>
      </c>
      <c r="K391">
        <v>1852.73</v>
      </c>
      <c r="L391">
        <v>296.56</v>
      </c>
    </row>
    <row r="392" spans="1:12" x14ac:dyDescent="0.25">
      <c r="A392">
        <v>10391</v>
      </c>
      <c r="B392" t="s">
        <v>988</v>
      </c>
      <c r="C392" t="s">
        <v>219</v>
      </c>
      <c r="D392" t="s">
        <v>611</v>
      </c>
      <c r="E392" t="s">
        <v>13</v>
      </c>
      <c r="F392" t="s">
        <v>14</v>
      </c>
      <c r="G392" t="s">
        <v>37</v>
      </c>
      <c r="H392" t="s">
        <v>27</v>
      </c>
      <c r="I392" t="s">
        <v>77</v>
      </c>
      <c r="J392">
        <v>7</v>
      </c>
      <c r="K392">
        <v>4128.3999999999996</v>
      </c>
      <c r="L392">
        <v>222.6</v>
      </c>
    </row>
    <row r="393" spans="1:12" x14ac:dyDescent="0.25">
      <c r="A393">
        <v>10392</v>
      </c>
      <c r="B393" t="s">
        <v>988</v>
      </c>
      <c r="C393" t="s">
        <v>612</v>
      </c>
      <c r="D393" t="s">
        <v>373</v>
      </c>
      <c r="E393" t="s">
        <v>26</v>
      </c>
      <c r="F393" t="s">
        <v>20</v>
      </c>
      <c r="G393" t="s">
        <v>76</v>
      </c>
      <c r="H393" t="s">
        <v>16</v>
      </c>
      <c r="I393" t="s">
        <v>43</v>
      </c>
      <c r="J393">
        <v>5</v>
      </c>
      <c r="K393">
        <v>3418.72</v>
      </c>
      <c r="L393">
        <v>872.76</v>
      </c>
    </row>
    <row r="394" spans="1:12" x14ac:dyDescent="0.25">
      <c r="A394">
        <v>10393</v>
      </c>
      <c r="B394" t="s">
        <v>988</v>
      </c>
      <c r="C394" t="s">
        <v>613</v>
      </c>
      <c r="D394" t="s">
        <v>614</v>
      </c>
      <c r="E394" t="s">
        <v>31</v>
      </c>
      <c r="F394" t="s">
        <v>46</v>
      </c>
      <c r="G394" t="s">
        <v>71</v>
      </c>
      <c r="H394" t="s">
        <v>22</v>
      </c>
      <c r="I394" t="s">
        <v>23</v>
      </c>
      <c r="J394">
        <v>7</v>
      </c>
      <c r="K394">
        <v>2732.05</v>
      </c>
      <c r="L394">
        <v>752.93</v>
      </c>
    </row>
    <row r="395" spans="1:12" x14ac:dyDescent="0.25">
      <c r="A395">
        <v>10394</v>
      </c>
      <c r="B395" t="s">
        <v>988</v>
      </c>
      <c r="C395" t="s">
        <v>171</v>
      </c>
      <c r="D395" t="s">
        <v>289</v>
      </c>
      <c r="E395" t="s">
        <v>13</v>
      </c>
      <c r="F395" t="s">
        <v>46</v>
      </c>
      <c r="G395" t="s">
        <v>71</v>
      </c>
      <c r="H395" t="s">
        <v>22</v>
      </c>
      <c r="I395" t="s">
        <v>48</v>
      </c>
      <c r="J395">
        <v>5</v>
      </c>
      <c r="K395">
        <v>1052.2</v>
      </c>
      <c r="L395">
        <v>20.350000000000001</v>
      </c>
    </row>
    <row r="396" spans="1:12" x14ac:dyDescent="0.25">
      <c r="A396">
        <v>10395</v>
      </c>
      <c r="B396" t="s">
        <v>988</v>
      </c>
      <c r="C396" t="s">
        <v>305</v>
      </c>
      <c r="D396" t="s">
        <v>615</v>
      </c>
      <c r="E396" t="s">
        <v>26</v>
      </c>
      <c r="F396" t="s">
        <v>20</v>
      </c>
      <c r="G396" t="s">
        <v>21</v>
      </c>
      <c r="H396" t="s">
        <v>27</v>
      </c>
      <c r="I396" t="s">
        <v>118</v>
      </c>
      <c r="J396">
        <v>5</v>
      </c>
      <c r="K396">
        <v>581.19000000000005</v>
      </c>
      <c r="L396">
        <v>85.77</v>
      </c>
    </row>
    <row r="397" spans="1:12" x14ac:dyDescent="0.25">
      <c r="A397">
        <v>10396</v>
      </c>
      <c r="B397" t="s">
        <v>988</v>
      </c>
      <c r="C397" t="s">
        <v>616</v>
      </c>
      <c r="D397" t="s">
        <v>188</v>
      </c>
      <c r="E397" t="s">
        <v>13</v>
      </c>
      <c r="F397" t="s">
        <v>46</v>
      </c>
      <c r="G397" t="s">
        <v>71</v>
      </c>
      <c r="H397" t="s">
        <v>27</v>
      </c>
      <c r="I397" t="s">
        <v>118</v>
      </c>
      <c r="J397">
        <v>4</v>
      </c>
      <c r="K397">
        <v>1657.15</v>
      </c>
      <c r="L397">
        <v>207.92</v>
      </c>
    </row>
    <row r="398" spans="1:12" x14ac:dyDescent="0.25">
      <c r="A398">
        <v>10397</v>
      </c>
      <c r="B398" t="s">
        <v>988</v>
      </c>
      <c r="C398" t="s">
        <v>330</v>
      </c>
      <c r="D398" t="s">
        <v>113</v>
      </c>
      <c r="E398" t="s">
        <v>31</v>
      </c>
      <c r="F398" t="s">
        <v>46</v>
      </c>
      <c r="G398" t="s">
        <v>47</v>
      </c>
      <c r="H398" t="s">
        <v>27</v>
      </c>
      <c r="I398" t="s">
        <v>77</v>
      </c>
      <c r="J398">
        <v>3</v>
      </c>
      <c r="K398">
        <v>123.68</v>
      </c>
      <c r="L398">
        <v>-8.36</v>
      </c>
    </row>
    <row r="399" spans="1:12" x14ac:dyDescent="0.25">
      <c r="A399">
        <v>10398</v>
      </c>
      <c r="B399" t="s">
        <v>988</v>
      </c>
      <c r="C399" t="s">
        <v>324</v>
      </c>
      <c r="D399" t="s">
        <v>432</v>
      </c>
      <c r="E399" t="s">
        <v>26</v>
      </c>
      <c r="F399" t="s">
        <v>32</v>
      </c>
      <c r="G399" t="s">
        <v>33</v>
      </c>
      <c r="H399" t="s">
        <v>16</v>
      </c>
      <c r="I399" t="s">
        <v>17</v>
      </c>
      <c r="J399">
        <v>8</v>
      </c>
      <c r="K399">
        <v>2367.96</v>
      </c>
      <c r="L399">
        <v>300.22000000000003</v>
      </c>
    </row>
    <row r="400" spans="1:12" x14ac:dyDescent="0.25">
      <c r="A400">
        <v>10399</v>
      </c>
      <c r="B400" t="s">
        <v>988</v>
      </c>
      <c r="C400" t="s">
        <v>617</v>
      </c>
      <c r="D400" t="s">
        <v>618</v>
      </c>
      <c r="E400" t="s">
        <v>13</v>
      </c>
      <c r="F400" t="s">
        <v>14</v>
      </c>
      <c r="G400" t="s">
        <v>37</v>
      </c>
      <c r="H400" t="s">
        <v>22</v>
      </c>
      <c r="I400" t="s">
        <v>48</v>
      </c>
      <c r="J400">
        <v>5</v>
      </c>
      <c r="K400">
        <v>3694.37</v>
      </c>
      <c r="L400">
        <v>690.72</v>
      </c>
    </row>
    <row r="401" spans="1:12" x14ac:dyDescent="0.25">
      <c r="A401">
        <v>10400</v>
      </c>
      <c r="B401" t="s">
        <v>988</v>
      </c>
      <c r="C401" t="s">
        <v>505</v>
      </c>
      <c r="D401" t="s">
        <v>619</v>
      </c>
      <c r="E401" t="s">
        <v>26</v>
      </c>
      <c r="F401" t="s">
        <v>14</v>
      </c>
      <c r="G401" t="s">
        <v>37</v>
      </c>
      <c r="H401" t="s">
        <v>16</v>
      </c>
      <c r="I401" t="s">
        <v>43</v>
      </c>
      <c r="J401">
        <v>1</v>
      </c>
      <c r="K401">
        <v>2802.81</v>
      </c>
      <c r="L401">
        <v>421.08</v>
      </c>
    </row>
    <row r="402" spans="1:12" x14ac:dyDescent="0.25">
      <c r="A402">
        <v>10401</v>
      </c>
      <c r="B402" t="s">
        <v>988</v>
      </c>
      <c r="C402" t="s">
        <v>328</v>
      </c>
      <c r="D402" t="s">
        <v>434</v>
      </c>
      <c r="E402" t="s">
        <v>13</v>
      </c>
      <c r="F402" t="s">
        <v>32</v>
      </c>
      <c r="G402" t="s">
        <v>54</v>
      </c>
      <c r="H402" t="s">
        <v>22</v>
      </c>
      <c r="I402" t="s">
        <v>38</v>
      </c>
      <c r="J402">
        <v>3</v>
      </c>
      <c r="K402">
        <v>2377.04</v>
      </c>
      <c r="L402">
        <v>382.49</v>
      </c>
    </row>
    <row r="403" spans="1:12" x14ac:dyDescent="0.25">
      <c r="A403">
        <v>10402</v>
      </c>
      <c r="B403" t="s">
        <v>988</v>
      </c>
      <c r="C403" t="s">
        <v>620</v>
      </c>
      <c r="D403" t="s">
        <v>621</v>
      </c>
      <c r="E403" t="s">
        <v>13</v>
      </c>
      <c r="F403" t="s">
        <v>46</v>
      </c>
      <c r="G403" t="s">
        <v>71</v>
      </c>
      <c r="H403" t="s">
        <v>16</v>
      </c>
      <c r="I403" t="s">
        <v>43</v>
      </c>
      <c r="J403">
        <v>8</v>
      </c>
      <c r="K403">
        <v>880.19</v>
      </c>
      <c r="L403">
        <v>112.05</v>
      </c>
    </row>
    <row r="404" spans="1:12" x14ac:dyDescent="0.25">
      <c r="A404">
        <v>10403</v>
      </c>
      <c r="B404" t="s">
        <v>988</v>
      </c>
      <c r="C404" t="s">
        <v>622</v>
      </c>
      <c r="D404" t="s">
        <v>623</v>
      </c>
      <c r="E404" t="s">
        <v>13</v>
      </c>
      <c r="F404" t="s">
        <v>20</v>
      </c>
      <c r="G404" t="s">
        <v>76</v>
      </c>
      <c r="H404" t="s">
        <v>22</v>
      </c>
      <c r="I404" t="s">
        <v>48</v>
      </c>
      <c r="J404">
        <v>8</v>
      </c>
      <c r="K404">
        <v>1235.57</v>
      </c>
      <c r="L404">
        <v>120.03</v>
      </c>
    </row>
    <row r="405" spans="1:12" x14ac:dyDescent="0.25">
      <c r="A405">
        <v>10404</v>
      </c>
      <c r="B405" t="s">
        <v>988</v>
      </c>
      <c r="C405" t="s">
        <v>495</v>
      </c>
      <c r="D405" t="s">
        <v>599</v>
      </c>
      <c r="E405" t="s">
        <v>31</v>
      </c>
      <c r="F405" t="s">
        <v>32</v>
      </c>
      <c r="G405" t="s">
        <v>54</v>
      </c>
      <c r="H405" t="s">
        <v>27</v>
      </c>
      <c r="I405" t="s">
        <v>77</v>
      </c>
      <c r="J405">
        <v>1</v>
      </c>
      <c r="K405">
        <v>295.52999999999997</v>
      </c>
      <c r="L405">
        <v>52.37</v>
      </c>
    </row>
    <row r="406" spans="1:12" x14ac:dyDescent="0.25">
      <c r="A406">
        <v>10405</v>
      </c>
      <c r="B406" t="s">
        <v>988</v>
      </c>
      <c r="C406" t="s">
        <v>624</v>
      </c>
      <c r="D406" t="s">
        <v>625</v>
      </c>
      <c r="E406" t="s">
        <v>26</v>
      </c>
      <c r="F406" t="s">
        <v>32</v>
      </c>
      <c r="G406" t="s">
        <v>33</v>
      </c>
      <c r="H406" t="s">
        <v>27</v>
      </c>
      <c r="I406" t="s">
        <v>77</v>
      </c>
      <c r="J406">
        <v>6</v>
      </c>
      <c r="K406">
        <v>2979.63</v>
      </c>
      <c r="L406">
        <v>810.29</v>
      </c>
    </row>
    <row r="407" spans="1:12" x14ac:dyDescent="0.25">
      <c r="A407">
        <v>10406</v>
      </c>
      <c r="B407" t="s">
        <v>988</v>
      </c>
      <c r="C407" t="s">
        <v>169</v>
      </c>
      <c r="D407" t="s">
        <v>626</v>
      </c>
      <c r="E407" t="s">
        <v>26</v>
      </c>
      <c r="F407" t="s">
        <v>20</v>
      </c>
      <c r="G407" t="s">
        <v>76</v>
      </c>
      <c r="H407" t="s">
        <v>27</v>
      </c>
      <c r="I407" t="s">
        <v>77</v>
      </c>
      <c r="J407">
        <v>8</v>
      </c>
      <c r="K407">
        <v>4447.1400000000003</v>
      </c>
      <c r="L407">
        <v>141.49</v>
      </c>
    </row>
    <row r="408" spans="1:12" x14ac:dyDescent="0.25">
      <c r="A408">
        <v>10407</v>
      </c>
      <c r="B408" t="s">
        <v>988</v>
      </c>
      <c r="C408" t="s">
        <v>601</v>
      </c>
      <c r="D408" t="s">
        <v>68</v>
      </c>
      <c r="E408" t="s">
        <v>31</v>
      </c>
      <c r="F408" t="s">
        <v>14</v>
      </c>
      <c r="G408" t="s">
        <v>37</v>
      </c>
      <c r="H408" t="s">
        <v>22</v>
      </c>
      <c r="I408" t="s">
        <v>48</v>
      </c>
      <c r="J408">
        <v>3</v>
      </c>
      <c r="K408">
        <v>871.05</v>
      </c>
      <c r="L408">
        <v>92.95</v>
      </c>
    </row>
    <row r="409" spans="1:12" x14ac:dyDescent="0.25">
      <c r="A409">
        <v>10408</v>
      </c>
      <c r="B409" t="s">
        <v>988</v>
      </c>
      <c r="C409" t="s">
        <v>627</v>
      </c>
      <c r="D409" t="s">
        <v>156</v>
      </c>
      <c r="E409" t="s">
        <v>26</v>
      </c>
      <c r="F409" t="s">
        <v>32</v>
      </c>
      <c r="G409" t="s">
        <v>33</v>
      </c>
      <c r="H409" t="s">
        <v>27</v>
      </c>
      <c r="I409" t="s">
        <v>77</v>
      </c>
      <c r="J409">
        <v>8</v>
      </c>
      <c r="K409">
        <v>1132.45</v>
      </c>
      <c r="L409">
        <v>18.940000000000001</v>
      </c>
    </row>
    <row r="410" spans="1:12" x14ac:dyDescent="0.25">
      <c r="A410">
        <v>10409</v>
      </c>
      <c r="B410" t="s">
        <v>988</v>
      </c>
      <c r="C410" t="s">
        <v>140</v>
      </c>
      <c r="D410" t="s">
        <v>628</v>
      </c>
      <c r="E410" t="s">
        <v>13</v>
      </c>
      <c r="F410" t="s">
        <v>46</v>
      </c>
      <c r="G410" t="s">
        <v>71</v>
      </c>
      <c r="H410" t="s">
        <v>22</v>
      </c>
      <c r="I410" t="s">
        <v>23</v>
      </c>
      <c r="J410">
        <v>3</v>
      </c>
      <c r="K410">
        <v>373.97</v>
      </c>
      <c r="L410">
        <v>24.84</v>
      </c>
    </row>
    <row r="411" spans="1:12" x14ac:dyDescent="0.25">
      <c r="A411">
        <v>10410</v>
      </c>
      <c r="B411" t="s">
        <v>988</v>
      </c>
      <c r="C411" t="s">
        <v>219</v>
      </c>
      <c r="D411" t="s">
        <v>629</v>
      </c>
      <c r="E411" t="s">
        <v>31</v>
      </c>
      <c r="F411" t="s">
        <v>14</v>
      </c>
      <c r="G411" t="s">
        <v>37</v>
      </c>
      <c r="H411" t="s">
        <v>22</v>
      </c>
      <c r="I411" t="s">
        <v>48</v>
      </c>
      <c r="J411">
        <v>8</v>
      </c>
      <c r="K411">
        <v>3071.98</v>
      </c>
      <c r="L411">
        <v>467.48</v>
      </c>
    </row>
    <row r="412" spans="1:12" x14ac:dyDescent="0.25">
      <c r="A412">
        <v>10411</v>
      </c>
      <c r="B412" t="s">
        <v>988</v>
      </c>
      <c r="C412" t="s">
        <v>508</v>
      </c>
      <c r="D412" t="s">
        <v>379</v>
      </c>
      <c r="E412" t="s">
        <v>26</v>
      </c>
      <c r="F412" t="s">
        <v>46</v>
      </c>
      <c r="G412" t="s">
        <v>71</v>
      </c>
      <c r="H412" t="s">
        <v>16</v>
      </c>
      <c r="I412" t="s">
        <v>17</v>
      </c>
      <c r="J412">
        <v>3</v>
      </c>
      <c r="K412">
        <v>3648.52</v>
      </c>
      <c r="L412">
        <v>449.64</v>
      </c>
    </row>
    <row r="413" spans="1:12" x14ac:dyDescent="0.25">
      <c r="A413">
        <v>10412</v>
      </c>
      <c r="B413" t="s">
        <v>988</v>
      </c>
      <c r="C413" t="s">
        <v>138</v>
      </c>
      <c r="D413" t="s">
        <v>630</v>
      </c>
      <c r="E413" t="s">
        <v>26</v>
      </c>
      <c r="F413" t="s">
        <v>20</v>
      </c>
      <c r="G413" t="s">
        <v>76</v>
      </c>
      <c r="H413" t="s">
        <v>22</v>
      </c>
      <c r="I413" t="s">
        <v>23</v>
      </c>
      <c r="J413">
        <v>1</v>
      </c>
      <c r="K413">
        <v>1091.51</v>
      </c>
      <c r="L413">
        <v>238.7</v>
      </c>
    </row>
    <row r="414" spans="1:12" x14ac:dyDescent="0.25">
      <c r="A414">
        <v>10413</v>
      </c>
      <c r="B414" t="s">
        <v>988</v>
      </c>
      <c r="C414" t="s">
        <v>410</v>
      </c>
      <c r="D414" t="s">
        <v>631</v>
      </c>
      <c r="E414" t="s">
        <v>26</v>
      </c>
      <c r="F414" t="s">
        <v>14</v>
      </c>
      <c r="G414" t="s">
        <v>15</v>
      </c>
      <c r="H414" t="s">
        <v>27</v>
      </c>
      <c r="I414" t="s">
        <v>118</v>
      </c>
      <c r="J414">
        <v>2</v>
      </c>
      <c r="K414">
        <v>556.63</v>
      </c>
      <c r="L414">
        <v>29.39</v>
      </c>
    </row>
    <row r="415" spans="1:12" x14ac:dyDescent="0.25">
      <c r="A415">
        <v>10414</v>
      </c>
      <c r="B415" t="s">
        <v>988</v>
      </c>
      <c r="C415" t="s">
        <v>563</v>
      </c>
      <c r="D415" t="s">
        <v>632</v>
      </c>
      <c r="E415" t="s">
        <v>13</v>
      </c>
      <c r="F415" t="s">
        <v>20</v>
      </c>
      <c r="G415" t="s">
        <v>76</v>
      </c>
      <c r="H415" t="s">
        <v>27</v>
      </c>
      <c r="I415" t="s">
        <v>118</v>
      </c>
      <c r="J415">
        <v>7</v>
      </c>
      <c r="K415">
        <v>1224.48</v>
      </c>
      <c r="L415">
        <v>227.87</v>
      </c>
    </row>
    <row r="416" spans="1:12" x14ac:dyDescent="0.25">
      <c r="A416">
        <v>10415</v>
      </c>
      <c r="B416" t="s">
        <v>988</v>
      </c>
      <c r="C416" t="s">
        <v>429</v>
      </c>
      <c r="D416" t="s">
        <v>45</v>
      </c>
      <c r="E416" t="s">
        <v>13</v>
      </c>
      <c r="F416" t="s">
        <v>14</v>
      </c>
      <c r="G416" t="s">
        <v>37</v>
      </c>
      <c r="H416" t="s">
        <v>22</v>
      </c>
      <c r="I416" t="s">
        <v>38</v>
      </c>
      <c r="J416">
        <v>8</v>
      </c>
      <c r="K416">
        <v>3852.71</v>
      </c>
      <c r="L416">
        <v>1060.83</v>
      </c>
    </row>
    <row r="417" spans="1:12" x14ac:dyDescent="0.25">
      <c r="A417">
        <v>10416</v>
      </c>
      <c r="B417" t="s">
        <v>988</v>
      </c>
      <c r="C417" t="s">
        <v>121</v>
      </c>
      <c r="D417" t="s">
        <v>633</v>
      </c>
      <c r="E417" t="s">
        <v>13</v>
      </c>
      <c r="F417" t="s">
        <v>20</v>
      </c>
      <c r="G417" t="s">
        <v>76</v>
      </c>
      <c r="H417" t="s">
        <v>22</v>
      </c>
      <c r="I417" t="s">
        <v>23</v>
      </c>
      <c r="J417">
        <v>1</v>
      </c>
      <c r="K417">
        <v>2932.14</v>
      </c>
      <c r="L417">
        <v>232.26</v>
      </c>
    </row>
    <row r="418" spans="1:12" x14ac:dyDescent="0.25">
      <c r="A418">
        <v>10417</v>
      </c>
      <c r="B418" t="s">
        <v>988</v>
      </c>
      <c r="C418" t="s">
        <v>110</v>
      </c>
      <c r="D418" t="s">
        <v>634</v>
      </c>
      <c r="E418" t="s">
        <v>13</v>
      </c>
      <c r="F418" t="s">
        <v>32</v>
      </c>
      <c r="G418" t="s">
        <v>54</v>
      </c>
      <c r="H418" t="s">
        <v>27</v>
      </c>
      <c r="I418" t="s">
        <v>118</v>
      </c>
      <c r="J418">
        <v>3</v>
      </c>
      <c r="K418">
        <v>2187.75</v>
      </c>
      <c r="L418">
        <v>403.42</v>
      </c>
    </row>
    <row r="419" spans="1:12" x14ac:dyDescent="0.25">
      <c r="A419">
        <v>10418</v>
      </c>
      <c r="B419" t="s">
        <v>988</v>
      </c>
      <c r="C419" t="s">
        <v>635</v>
      </c>
      <c r="D419" t="s">
        <v>636</v>
      </c>
      <c r="E419" t="s">
        <v>13</v>
      </c>
      <c r="F419" t="s">
        <v>32</v>
      </c>
      <c r="G419" t="s">
        <v>54</v>
      </c>
      <c r="H419" t="s">
        <v>16</v>
      </c>
      <c r="I419" t="s">
        <v>51</v>
      </c>
      <c r="J419">
        <v>4</v>
      </c>
      <c r="K419">
        <v>2124.8200000000002</v>
      </c>
      <c r="L419">
        <v>474.35</v>
      </c>
    </row>
    <row r="420" spans="1:12" x14ac:dyDescent="0.25">
      <c r="A420">
        <v>10419</v>
      </c>
      <c r="B420" t="s">
        <v>988</v>
      </c>
      <c r="C420" t="s">
        <v>637</v>
      </c>
      <c r="D420" t="s">
        <v>638</v>
      </c>
      <c r="E420" t="s">
        <v>13</v>
      </c>
      <c r="F420" t="s">
        <v>20</v>
      </c>
      <c r="G420" t="s">
        <v>76</v>
      </c>
      <c r="H420" t="s">
        <v>27</v>
      </c>
      <c r="I420" t="s">
        <v>28</v>
      </c>
      <c r="J420">
        <v>7</v>
      </c>
      <c r="K420">
        <v>3705.33</v>
      </c>
      <c r="L420">
        <v>911.35</v>
      </c>
    </row>
    <row r="421" spans="1:12" x14ac:dyDescent="0.25">
      <c r="A421">
        <v>10420</v>
      </c>
      <c r="B421" t="s">
        <v>988</v>
      </c>
      <c r="C421" t="s">
        <v>639</v>
      </c>
      <c r="D421" t="s">
        <v>640</v>
      </c>
      <c r="E421" t="s">
        <v>31</v>
      </c>
      <c r="F421" t="s">
        <v>46</v>
      </c>
      <c r="G421" t="s">
        <v>71</v>
      </c>
      <c r="H421" t="s">
        <v>22</v>
      </c>
      <c r="I421" t="s">
        <v>34</v>
      </c>
      <c r="J421">
        <v>6</v>
      </c>
      <c r="K421">
        <v>4024.18</v>
      </c>
      <c r="L421">
        <v>750.49</v>
      </c>
    </row>
    <row r="422" spans="1:12" x14ac:dyDescent="0.25">
      <c r="A422">
        <v>10421</v>
      </c>
      <c r="B422" t="s">
        <v>988</v>
      </c>
      <c r="C422" t="s">
        <v>294</v>
      </c>
      <c r="D422" t="s">
        <v>284</v>
      </c>
      <c r="E422" t="s">
        <v>13</v>
      </c>
      <c r="F422" t="s">
        <v>14</v>
      </c>
      <c r="G422" t="s">
        <v>15</v>
      </c>
      <c r="H422" t="s">
        <v>22</v>
      </c>
      <c r="I422" t="s">
        <v>34</v>
      </c>
      <c r="J422">
        <v>7</v>
      </c>
      <c r="K422">
        <v>531.89</v>
      </c>
      <c r="L422">
        <v>24.49</v>
      </c>
    </row>
    <row r="423" spans="1:12" x14ac:dyDescent="0.25">
      <c r="A423">
        <v>10422</v>
      </c>
      <c r="B423" t="s">
        <v>988</v>
      </c>
      <c r="C423" t="s">
        <v>641</v>
      </c>
      <c r="D423" t="s">
        <v>434</v>
      </c>
      <c r="E423" t="s">
        <v>26</v>
      </c>
      <c r="F423" t="s">
        <v>20</v>
      </c>
      <c r="G423" t="s">
        <v>76</v>
      </c>
      <c r="H423" t="s">
        <v>16</v>
      </c>
      <c r="I423" t="s">
        <v>17</v>
      </c>
      <c r="J423">
        <v>1</v>
      </c>
      <c r="K423">
        <v>4734.01</v>
      </c>
      <c r="L423">
        <v>1143.4100000000001</v>
      </c>
    </row>
    <row r="424" spans="1:12" x14ac:dyDescent="0.25">
      <c r="A424">
        <v>10423</v>
      </c>
      <c r="B424" t="s">
        <v>988</v>
      </c>
      <c r="C424" t="s">
        <v>319</v>
      </c>
      <c r="D424" t="s">
        <v>642</v>
      </c>
      <c r="E424" t="s">
        <v>31</v>
      </c>
      <c r="F424" t="s">
        <v>32</v>
      </c>
      <c r="G424" t="s">
        <v>33</v>
      </c>
      <c r="H424" t="s">
        <v>22</v>
      </c>
      <c r="I424" t="s">
        <v>48</v>
      </c>
      <c r="J424">
        <v>3</v>
      </c>
      <c r="K424">
        <v>3402.72</v>
      </c>
      <c r="L424">
        <v>410.66</v>
      </c>
    </row>
    <row r="425" spans="1:12" x14ac:dyDescent="0.25">
      <c r="A425">
        <v>10424</v>
      </c>
      <c r="B425" t="s">
        <v>988</v>
      </c>
      <c r="C425" t="s">
        <v>86</v>
      </c>
      <c r="D425" t="s">
        <v>222</v>
      </c>
      <c r="E425" t="s">
        <v>13</v>
      </c>
      <c r="F425" t="s">
        <v>20</v>
      </c>
      <c r="G425" t="s">
        <v>76</v>
      </c>
      <c r="H425" t="s">
        <v>16</v>
      </c>
      <c r="I425" t="s">
        <v>51</v>
      </c>
      <c r="J425">
        <v>7</v>
      </c>
      <c r="K425">
        <v>2971.79</v>
      </c>
      <c r="L425">
        <v>459.55</v>
      </c>
    </row>
    <row r="426" spans="1:12" x14ac:dyDescent="0.25">
      <c r="A426">
        <v>10425</v>
      </c>
      <c r="B426" t="s">
        <v>988</v>
      </c>
      <c r="C426" t="s">
        <v>183</v>
      </c>
      <c r="D426" t="s">
        <v>568</v>
      </c>
      <c r="E426" t="s">
        <v>31</v>
      </c>
      <c r="F426" t="s">
        <v>32</v>
      </c>
      <c r="G426" t="s">
        <v>54</v>
      </c>
      <c r="H426" t="s">
        <v>27</v>
      </c>
      <c r="I426" t="s">
        <v>28</v>
      </c>
      <c r="J426">
        <v>4</v>
      </c>
      <c r="K426">
        <v>3071.18</v>
      </c>
      <c r="L426">
        <v>209.94</v>
      </c>
    </row>
    <row r="427" spans="1:12" x14ac:dyDescent="0.25">
      <c r="A427">
        <v>10426</v>
      </c>
      <c r="B427" t="s">
        <v>988</v>
      </c>
      <c r="C427" t="s">
        <v>499</v>
      </c>
      <c r="D427" t="s">
        <v>643</v>
      </c>
      <c r="E427" t="s">
        <v>13</v>
      </c>
      <c r="F427" t="s">
        <v>46</v>
      </c>
      <c r="G427" t="s">
        <v>47</v>
      </c>
      <c r="H427" t="s">
        <v>16</v>
      </c>
      <c r="I427" t="s">
        <v>81</v>
      </c>
      <c r="J427">
        <v>2</v>
      </c>
      <c r="K427">
        <v>2565.5300000000002</v>
      </c>
      <c r="L427">
        <v>334.62</v>
      </c>
    </row>
    <row r="428" spans="1:12" x14ac:dyDescent="0.25">
      <c r="A428">
        <v>10427</v>
      </c>
      <c r="B428" t="s">
        <v>988</v>
      </c>
      <c r="C428" t="s">
        <v>644</v>
      </c>
      <c r="D428" t="s">
        <v>549</v>
      </c>
      <c r="E428" t="s">
        <v>26</v>
      </c>
      <c r="F428" t="s">
        <v>32</v>
      </c>
      <c r="G428" t="s">
        <v>54</v>
      </c>
      <c r="H428" t="s">
        <v>27</v>
      </c>
      <c r="I428" t="s">
        <v>77</v>
      </c>
      <c r="J428">
        <v>4</v>
      </c>
      <c r="K428">
        <v>3811.62</v>
      </c>
      <c r="L428">
        <v>1060.67</v>
      </c>
    </row>
    <row r="429" spans="1:12" x14ac:dyDescent="0.25">
      <c r="A429">
        <v>10428</v>
      </c>
      <c r="B429" t="s">
        <v>988</v>
      </c>
      <c r="C429" t="s">
        <v>637</v>
      </c>
      <c r="D429" t="s">
        <v>645</v>
      </c>
      <c r="E429" t="s">
        <v>31</v>
      </c>
      <c r="F429" t="s">
        <v>20</v>
      </c>
      <c r="G429" t="s">
        <v>21</v>
      </c>
      <c r="H429" t="s">
        <v>27</v>
      </c>
      <c r="I429" t="s">
        <v>118</v>
      </c>
      <c r="J429">
        <v>7</v>
      </c>
      <c r="K429">
        <v>3204.94</v>
      </c>
      <c r="L429">
        <v>889.14</v>
      </c>
    </row>
    <row r="430" spans="1:12" x14ac:dyDescent="0.25">
      <c r="A430">
        <v>10429</v>
      </c>
      <c r="B430" t="s">
        <v>988</v>
      </c>
      <c r="C430" t="s">
        <v>274</v>
      </c>
      <c r="D430" t="s">
        <v>270</v>
      </c>
      <c r="E430" t="s">
        <v>13</v>
      </c>
      <c r="F430" t="s">
        <v>20</v>
      </c>
      <c r="G430" t="s">
        <v>76</v>
      </c>
      <c r="H430" t="s">
        <v>16</v>
      </c>
      <c r="I430" t="s">
        <v>81</v>
      </c>
      <c r="J430">
        <v>5</v>
      </c>
      <c r="K430">
        <v>1316.46</v>
      </c>
      <c r="L430">
        <v>29.06</v>
      </c>
    </row>
    <row r="431" spans="1:12" x14ac:dyDescent="0.25">
      <c r="A431">
        <v>10430</v>
      </c>
      <c r="B431" t="s">
        <v>988</v>
      </c>
      <c r="C431" t="s">
        <v>213</v>
      </c>
      <c r="D431" t="s">
        <v>646</v>
      </c>
      <c r="E431" t="s">
        <v>31</v>
      </c>
      <c r="F431" t="s">
        <v>46</v>
      </c>
      <c r="G431" t="s">
        <v>47</v>
      </c>
      <c r="H431" t="s">
        <v>27</v>
      </c>
      <c r="I431" t="s">
        <v>28</v>
      </c>
      <c r="J431">
        <v>4</v>
      </c>
      <c r="K431">
        <v>4482.1499999999996</v>
      </c>
      <c r="L431">
        <v>430.91</v>
      </c>
    </row>
    <row r="432" spans="1:12" x14ac:dyDescent="0.25">
      <c r="A432">
        <v>10431</v>
      </c>
      <c r="B432" t="s">
        <v>988</v>
      </c>
      <c r="C432" t="s">
        <v>264</v>
      </c>
      <c r="D432" t="s">
        <v>647</v>
      </c>
      <c r="E432" t="s">
        <v>26</v>
      </c>
      <c r="F432" t="s">
        <v>46</v>
      </c>
      <c r="G432" t="s">
        <v>71</v>
      </c>
      <c r="H432" t="s">
        <v>16</v>
      </c>
      <c r="I432" t="s">
        <v>43</v>
      </c>
      <c r="J432">
        <v>5</v>
      </c>
      <c r="K432">
        <v>1113.22</v>
      </c>
      <c r="L432">
        <v>87.12</v>
      </c>
    </row>
    <row r="433" spans="1:12" x14ac:dyDescent="0.25">
      <c r="A433">
        <v>10432</v>
      </c>
      <c r="B433" t="s">
        <v>988</v>
      </c>
      <c r="C433" t="s">
        <v>648</v>
      </c>
      <c r="D433" t="s">
        <v>649</v>
      </c>
      <c r="E433" t="s">
        <v>13</v>
      </c>
      <c r="F433" t="s">
        <v>14</v>
      </c>
      <c r="G433" t="s">
        <v>15</v>
      </c>
      <c r="H433" t="s">
        <v>22</v>
      </c>
      <c r="I433" t="s">
        <v>34</v>
      </c>
      <c r="J433">
        <v>1</v>
      </c>
      <c r="K433">
        <v>3844.8</v>
      </c>
      <c r="L433">
        <v>708.48</v>
      </c>
    </row>
    <row r="434" spans="1:12" x14ac:dyDescent="0.25">
      <c r="A434">
        <v>10433</v>
      </c>
      <c r="B434" t="s">
        <v>988</v>
      </c>
      <c r="C434" t="s">
        <v>477</v>
      </c>
      <c r="D434" t="s">
        <v>650</v>
      </c>
      <c r="E434" t="s">
        <v>13</v>
      </c>
      <c r="F434" t="s">
        <v>32</v>
      </c>
      <c r="G434" t="s">
        <v>54</v>
      </c>
      <c r="H434" t="s">
        <v>16</v>
      </c>
      <c r="I434" t="s">
        <v>17</v>
      </c>
      <c r="J434">
        <v>8</v>
      </c>
      <c r="K434">
        <v>996.07</v>
      </c>
      <c r="L434">
        <v>189</v>
      </c>
    </row>
    <row r="435" spans="1:12" x14ac:dyDescent="0.25">
      <c r="A435">
        <v>10434</v>
      </c>
      <c r="B435" t="s">
        <v>988</v>
      </c>
      <c r="C435" t="s">
        <v>96</v>
      </c>
      <c r="D435" t="s">
        <v>453</v>
      </c>
      <c r="E435" t="s">
        <v>26</v>
      </c>
      <c r="F435" t="s">
        <v>46</v>
      </c>
      <c r="G435" t="s">
        <v>71</v>
      </c>
      <c r="H435" t="s">
        <v>16</v>
      </c>
      <c r="I435" t="s">
        <v>51</v>
      </c>
      <c r="J435">
        <v>8</v>
      </c>
      <c r="K435">
        <v>4704.3100000000004</v>
      </c>
      <c r="L435">
        <v>238.78</v>
      </c>
    </row>
    <row r="436" spans="1:12" x14ac:dyDescent="0.25">
      <c r="A436">
        <v>10435</v>
      </c>
      <c r="B436" t="s">
        <v>988</v>
      </c>
      <c r="C436" t="s">
        <v>161</v>
      </c>
      <c r="D436" t="s">
        <v>651</v>
      </c>
      <c r="E436" t="s">
        <v>31</v>
      </c>
      <c r="F436" t="s">
        <v>20</v>
      </c>
      <c r="G436" t="s">
        <v>21</v>
      </c>
      <c r="H436" t="s">
        <v>16</v>
      </c>
      <c r="I436" t="s">
        <v>51</v>
      </c>
      <c r="J436">
        <v>6</v>
      </c>
      <c r="K436">
        <v>3477.13</v>
      </c>
      <c r="L436">
        <v>163.06</v>
      </c>
    </row>
    <row r="437" spans="1:12" x14ac:dyDescent="0.25">
      <c r="A437">
        <v>10436</v>
      </c>
      <c r="B437" t="s">
        <v>988</v>
      </c>
      <c r="C437" t="s">
        <v>652</v>
      </c>
      <c r="D437" t="s">
        <v>653</v>
      </c>
      <c r="E437" t="s">
        <v>31</v>
      </c>
      <c r="F437" t="s">
        <v>32</v>
      </c>
      <c r="G437" t="s">
        <v>54</v>
      </c>
      <c r="H437" t="s">
        <v>22</v>
      </c>
      <c r="I437" t="s">
        <v>38</v>
      </c>
      <c r="J437">
        <v>4</v>
      </c>
      <c r="K437">
        <v>1420.1</v>
      </c>
      <c r="L437">
        <v>377</v>
      </c>
    </row>
    <row r="438" spans="1:12" x14ac:dyDescent="0.25">
      <c r="A438">
        <v>10437</v>
      </c>
      <c r="B438" t="s">
        <v>988</v>
      </c>
      <c r="C438" t="s">
        <v>221</v>
      </c>
      <c r="D438" t="s">
        <v>150</v>
      </c>
      <c r="E438" t="s">
        <v>13</v>
      </c>
      <c r="F438" t="s">
        <v>46</v>
      </c>
      <c r="G438" t="s">
        <v>47</v>
      </c>
      <c r="H438" t="s">
        <v>16</v>
      </c>
      <c r="I438" t="s">
        <v>17</v>
      </c>
      <c r="J438">
        <v>6</v>
      </c>
      <c r="K438">
        <v>4286.2</v>
      </c>
      <c r="L438">
        <v>495.96</v>
      </c>
    </row>
    <row r="439" spans="1:12" x14ac:dyDescent="0.25">
      <c r="A439">
        <v>10438</v>
      </c>
      <c r="B439" t="s">
        <v>988</v>
      </c>
      <c r="C439" t="s">
        <v>100</v>
      </c>
      <c r="D439" t="s">
        <v>654</v>
      </c>
      <c r="E439" t="s">
        <v>26</v>
      </c>
      <c r="F439" t="s">
        <v>46</v>
      </c>
      <c r="G439" t="s">
        <v>71</v>
      </c>
      <c r="H439" t="s">
        <v>16</v>
      </c>
      <c r="I439" t="s">
        <v>17</v>
      </c>
      <c r="J439">
        <v>4</v>
      </c>
      <c r="K439">
        <v>2821.17</v>
      </c>
      <c r="L439">
        <v>725.4</v>
      </c>
    </row>
    <row r="440" spans="1:12" x14ac:dyDescent="0.25">
      <c r="A440">
        <v>10439</v>
      </c>
      <c r="B440" t="s">
        <v>988</v>
      </c>
      <c r="C440" t="s">
        <v>44</v>
      </c>
      <c r="D440" t="s">
        <v>655</v>
      </c>
      <c r="E440" t="s">
        <v>31</v>
      </c>
      <c r="F440" t="s">
        <v>46</v>
      </c>
      <c r="G440" t="s">
        <v>47</v>
      </c>
      <c r="H440" t="s">
        <v>27</v>
      </c>
      <c r="I440" t="s">
        <v>104</v>
      </c>
      <c r="J440">
        <v>6</v>
      </c>
      <c r="K440">
        <v>3948.13</v>
      </c>
      <c r="L440">
        <v>437.34</v>
      </c>
    </row>
    <row r="441" spans="1:12" x14ac:dyDescent="0.25">
      <c r="A441">
        <v>10440</v>
      </c>
      <c r="B441" t="s">
        <v>988</v>
      </c>
      <c r="C441" t="s">
        <v>132</v>
      </c>
      <c r="D441" t="s">
        <v>656</v>
      </c>
      <c r="E441" t="s">
        <v>31</v>
      </c>
      <c r="F441" t="s">
        <v>14</v>
      </c>
      <c r="G441" t="s">
        <v>15</v>
      </c>
      <c r="H441" t="s">
        <v>22</v>
      </c>
      <c r="I441" t="s">
        <v>48</v>
      </c>
      <c r="J441">
        <v>5</v>
      </c>
      <c r="K441">
        <v>2435.04</v>
      </c>
      <c r="L441">
        <v>460.2</v>
      </c>
    </row>
    <row r="442" spans="1:12" x14ac:dyDescent="0.25">
      <c r="A442">
        <v>10441</v>
      </c>
      <c r="B442" t="s">
        <v>988</v>
      </c>
      <c r="C442" t="s">
        <v>547</v>
      </c>
      <c r="D442" t="s">
        <v>657</v>
      </c>
      <c r="E442" t="s">
        <v>13</v>
      </c>
      <c r="F442" t="s">
        <v>32</v>
      </c>
      <c r="G442" t="s">
        <v>54</v>
      </c>
      <c r="H442" t="s">
        <v>27</v>
      </c>
      <c r="I442" t="s">
        <v>118</v>
      </c>
      <c r="J442">
        <v>7</v>
      </c>
      <c r="K442">
        <v>694.06</v>
      </c>
      <c r="L442">
        <v>88.89</v>
      </c>
    </row>
    <row r="443" spans="1:12" x14ac:dyDescent="0.25">
      <c r="A443">
        <v>10442</v>
      </c>
      <c r="B443" t="s">
        <v>988</v>
      </c>
      <c r="C443" t="s">
        <v>658</v>
      </c>
      <c r="D443" t="s">
        <v>659</v>
      </c>
      <c r="E443" t="s">
        <v>31</v>
      </c>
      <c r="F443" t="s">
        <v>46</v>
      </c>
      <c r="G443" t="s">
        <v>47</v>
      </c>
      <c r="H443" t="s">
        <v>27</v>
      </c>
      <c r="I443" t="s">
        <v>28</v>
      </c>
      <c r="J443">
        <v>8</v>
      </c>
      <c r="K443">
        <v>3896.25</v>
      </c>
      <c r="L443">
        <v>622.30999999999995</v>
      </c>
    </row>
    <row r="444" spans="1:12" x14ac:dyDescent="0.25">
      <c r="A444">
        <v>10443</v>
      </c>
      <c r="B444" t="s">
        <v>988</v>
      </c>
      <c r="C444" t="s">
        <v>467</v>
      </c>
      <c r="D444" t="s">
        <v>660</v>
      </c>
      <c r="E444" t="s">
        <v>26</v>
      </c>
      <c r="F444" t="s">
        <v>46</v>
      </c>
      <c r="G444" t="s">
        <v>71</v>
      </c>
      <c r="H444" t="s">
        <v>16</v>
      </c>
      <c r="I444" t="s">
        <v>17</v>
      </c>
      <c r="J444">
        <v>7</v>
      </c>
      <c r="K444">
        <v>3193.24</v>
      </c>
      <c r="L444">
        <v>531.12</v>
      </c>
    </row>
    <row r="445" spans="1:12" x14ac:dyDescent="0.25">
      <c r="A445">
        <v>10444</v>
      </c>
      <c r="B445" t="s">
        <v>988</v>
      </c>
      <c r="C445" t="s">
        <v>310</v>
      </c>
      <c r="D445" t="s">
        <v>661</v>
      </c>
      <c r="E445" t="s">
        <v>31</v>
      </c>
      <c r="F445" t="s">
        <v>32</v>
      </c>
      <c r="G445" t="s">
        <v>33</v>
      </c>
      <c r="H445" t="s">
        <v>27</v>
      </c>
      <c r="I445" t="s">
        <v>28</v>
      </c>
      <c r="J445">
        <v>5</v>
      </c>
      <c r="K445">
        <v>3581.12</v>
      </c>
      <c r="L445">
        <v>681.5</v>
      </c>
    </row>
    <row r="446" spans="1:12" x14ac:dyDescent="0.25">
      <c r="A446">
        <v>10445</v>
      </c>
      <c r="B446" t="s">
        <v>988</v>
      </c>
      <c r="C446" t="s">
        <v>662</v>
      </c>
      <c r="D446" t="s">
        <v>663</v>
      </c>
      <c r="E446" t="s">
        <v>26</v>
      </c>
      <c r="F446" t="s">
        <v>20</v>
      </c>
      <c r="G446" t="s">
        <v>76</v>
      </c>
      <c r="H446" t="s">
        <v>22</v>
      </c>
      <c r="I446" t="s">
        <v>48</v>
      </c>
      <c r="J446">
        <v>1</v>
      </c>
      <c r="K446">
        <v>712.7</v>
      </c>
      <c r="L446">
        <v>52.27</v>
      </c>
    </row>
    <row r="447" spans="1:12" x14ac:dyDescent="0.25">
      <c r="A447">
        <v>10446</v>
      </c>
      <c r="B447" t="s">
        <v>988</v>
      </c>
      <c r="C447" t="s">
        <v>664</v>
      </c>
      <c r="D447" t="s">
        <v>331</v>
      </c>
      <c r="E447" t="s">
        <v>31</v>
      </c>
      <c r="F447" t="s">
        <v>46</v>
      </c>
      <c r="G447" t="s">
        <v>71</v>
      </c>
      <c r="H447" t="s">
        <v>27</v>
      </c>
      <c r="I447" t="s">
        <v>118</v>
      </c>
      <c r="J447">
        <v>2</v>
      </c>
      <c r="K447">
        <v>412.58</v>
      </c>
      <c r="L447">
        <v>56.42</v>
      </c>
    </row>
    <row r="448" spans="1:12" x14ac:dyDescent="0.25">
      <c r="A448">
        <v>10447</v>
      </c>
      <c r="B448" t="s">
        <v>988</v>
      </c>
      <c r="C448" t="s">
        <v>665</v>
      </c>
      <c r="D448" t="s">
        <v>666</v>
      </c>
      <c r="E448" t="s">
        <v>31</v>
      </c>
      <c r="F448" t="s">
        <v>14</v>
      </c>
      <c r="G448" t="s">
        <v>15</v>
      </c>
      <c r="H448" t="s">
        <v>27</v>
      </c>
      <c r="I448" t="s">
        <v>104</v>
      </c>
      <c r="J448">
        <v>2</v>
      </c>
      <c r="K448">
        <v>3308.68</v>
      </c>
      <c r="L448">
        <v>866.93</v>
      </c>
    </row>
    <row r="449" spans="1:12" x14ac:dyDescent="0.25">
      <c r="A449">
        <v>10448</v>
      </c>
      <c r="B449" t="s">
        <v>988</v>
      </c>
      <c r="C449" t="s">
        <v>124</v>
      </c>
      <c r="D449" t="s">
        <v>667</v>
      </c>
      <c r="E449" t="s">
        <v>13</v>
      </c>
      <c r="F449" t="s">
        <v>20</v>
      </c>
      <c r="G449" t="s">
        <v>21</v>
      </c>
      <c r="H449" t="s">
        <v>22</v>
      </c>
      <c r="I449" t="s">
        <v>48</v>
      </c>
      <c r="J449">
        <v>1</v>
      </c>
      <c r="K449">
        <v>272.26</v>
      </c>
      <c r="L449">
        <v>-53.63</v>
      </c>
    </row>
    <row r="450" spans="1:12" x14ac:dyDescent="0.25">
      <c r="A450">
        <v>10449</v>
      </c>
      <c r="B450" t="s">
        <v>988</v>
      </c>
      <c r="C450" t="s">
        <v>165</v>
      </c>
      <c r="D450" t="s">
        <v>325</v>
      </c>
      <c r="E450" t="s">
        <v>13</v>
      </c>
      <c r="F450" t="s">
        <v>32</v>
      </c>
      <c r="G450" t="s">
        <v>54</v>
      </c>
      <c r="H450" t="s">
        <v>22</v>
      </c>
      <c r="I450" t="s">
        <v>48</v>
      </c>
      <c r="J450">
        <v>8</v>
      </c>
      <c r="K450">
        <v>3192.13</v>
      </c>
      <c r="L450">
        <v>610.64</v>
      </c>
    </row>
    <row r="451" spans="1:12" x14ac:dyDescent="0.25">
      <c r="A451">
        <v>10450</v>
      </c>
      <c r="B451" t="s">
        <v>988</v>
      </c>
      <c r="C451" t="s">
        <v>491</v>
      </c>
      <c r="D451" t="s">
        <v>434</v>
      </c>
      <c r="E451" t="s">
        <v>26</v>
      </c>
      <c r="F451" t="s">
        <v>32</v>
      </c>
      <c r="G451" t="s">
        <v>54</v>
      </c>
      <c r="H451" t="s">
        <v>27</v>
      </c>
      <c r="I451" t="s">
        <v>104</v>
      </c>
      <c r="J451">
        <v>2</v>
      </c>
      <c r="K451">
        <v>2265.12</v>
      </c>
      <c r="L451">
        <v>294.41000000000003</v>
      </c>
    </row>
    <row r="452" spans="1:12" x14ac:dyDescent="0.25">
      <c r="A452">
        <v>10451</v>
      </c>
      <c r="B452" t="s">
        <v>988</v>
      </c>
      <c r="C452" t="s">
        <v>116</v>
      </c>
      <c r="D452" t="s">
        <v>91</v>
      </c>
      <c r="E452" t="s">
        <v>31</v>
      </c>
      <c r="F452" t="s">
        <v>46</v>
      </c>
      <c r="G452" t="s">
        <v>47</v>
      </c>
      <c r="H452" t="s">
        <v>27</v>
      </c>
      <c r="I452" t="s">
        <v>77</v>
      </c>
      <c r="J452">
        <v>1</v>
      </c>
      <c r="K452">
        <v>3470.07</v>
      </c>
      <c r="L452">
        <v>524.72</v>
      </c>
    </row>
    <row r="453" spans="1:12" x14ac:dyDescent="0.25">
      <c r="A453">
        <v>10452</v>
      </c>
      <c r="B453" t="s">
        <v>988</v>
      </c>
      <c r="C453" t="s">
        <v>668</v>
      </c>
      <c r="D453" t="s">
        <v>669</v>
      </c>
      <c r="E453" t="s">
        <v>13</v>
      </c>
      <c r="F453" t="s">
        <v>32</v>
      </c>
      <c r="G453" t="s">
        <v>33</v>
      </c>
      <c r="H453" t="s">
        <v>22</v>
      </c>
      <c r="I453" t="s">
        <v>38</v>
      </c>
      <c r="J453">
        <v>4</v>
      </c>
      <c r="K453">
        <v>2117.5100000000002</v>
      </c>
      <c r="L453">
        <v>363.15</v>
      </c>
    </row>
    <row r="454" spans="1:12" x14ac:dyDescent="0.25">
      <c r="A454">
        <v>10453</v>
      </c>
      <c r="B454" t="s">
        <v>988</v>
      </c>
      <c r="C454" t="s">
        <v>514</v>
      </c>
      <c r="D454" t="s">
        <v>670</v>
      </c>
      <c r="E454" t="s">
        <v>13</v>
      </c>
      <c r="F454" t="s">
        <v>20</v>
      </c>
      <c r="G454" t="s">
        <v>76</v>
      </c>
      <c r="H454" t="s">
        <v>22</v>
      </c>
      <c r="I454" t="s">
        <v>38</v>
      </c>
      <c r="J454">
        <v>2</v>
      </c>
      <c r="K454">
        <v>2168.9699999999998</v>
      </c>
      <c r="L454">
        <v>161.9</v>
      </c>
    </row>
    <row r="455" spans="1:12" x14ac:dyDescent="0.25">
      <c r="A455">
        <v>10454</v>
      </c>
      <c r="B455" t="s">
        <v>988</v>
      </c>
      <c r="C455" t="s">
        <v>671</v>
      </c>
      <c r="D455" t="s">
        <v>99</v>
      </c>
      <c r="E455" t="s">
        <v>31</v>
      </c>
      <c r="F455" t="s">
        <v>32</v>
      </c>
      <c r="G455" t="s">
        <v>54</v>
      </c>
      <c r="H455" t="s">
        <v>16</v>
      </c>
      <c r="I455" t="s">
        <v>17</v>
      </c>
      <c r="J455">
        <v>7</v>
      </c>
      <c r="K455">
        <v>1021.2</v>
      </c>
      <c r="L455">
        <v>54.88</v>
      </c>
    </row>
    <row r="456" spans="1:12" x14ac:dyDescent="0.25">
      <c r="A456">
        <v>10455</v>
      </c>
      <c r="B456" t="s">
        <v>988</v>
      </c>
      <c r="C456" t="s">
        <v>627</v>
      </c>
      <c r="D456" t="s">
        <v>414</v>
      </c>
      <c r="E456" t="s">
        <v>26</v>
      </c>
      <c r="F456" t="s">
        <v>20</v>
      </c>
      <c r="G456" t="s">
        <v>76</v>
      </c>
      <c r="H456" t="s">
        <v>16</v>
      </c>
      <c r="I456" t="s">
        <v>51</v>
      </c>
      <c r="J456">
        <v>4</v>
      </c>
      <c r="K456">
        <v>1671.15</v>
      </c>
      <c r="L456">
        <v>50.15</v>
      </c>
    </row>
    <row r="457" spans="1:12" x14ac:dyDescent="0.25">
      <c r="A457">
        <v>10456</v>
      </c>
      <c r="B457" t="s">
        <v>988</v>
      </c>
      <c r="C457" t="s">
        <v>274</v>
      </c>
      <c r="D457" t="s">
        <v>476</v>
      </c>
      <c r="E457" t="s">
        <v>31</v>
      </c>
      <c r="F457" t="s">
        <v>32</v>
      </c>
      <c r="G457" t="s">
        <v>54</v>
      </c>
      <c r="H457" t="s">
        <v>22</v>
      </c>
      <c r="I457" t="s">
        <v>34</v>
      </c>
      <c r="J457">
        <v>1</v>
      </c>
      <c r="K457">
        <v>1240.77</v>
      </c>
      <c r="L457">
        <v>59.42</v>
      </c>
    </row>
    <row r="458" spans="1:12" x14ac:dyDescent="0.25">
      <c r="A458">
        <v>10457</v>
      </c>
      <c r="B458" t="s">
        <v>988</v>
      </c>
      <c r="C458" t="s">
        <v>596</v>
      </c>
      <c r="D458" t="s">
        <v>453</v>
      </c>
      <c r="E458" t="s">
        <v>31</v>
      </c>
      <c r="F458" t="s">
        <v>20</v>
      </c>
      <c r="G458" t="s">
        <v>76</v>
      </c>
      <c r="H458" t="s">
        <v>27</v>
      </c>
      <c r="I458" t="s">
        <v>118</v>
      </c>
      <c r="J458">
        <v>6</v>
      </c>
      <c r="K458">
        <v>493.09</v>
      </c>
      <c r="L458">
        <v>102.57</v>
      </c>
    </row>
    <row r="459" spans="1:12" x14ac:dyDescent="0.25">
      <c r="A459">
        <v>10458</v>
      </c>
      <c r="B459" t="s">
        <v>988</v>
      </c>
      <c r="C459" t="s">
        <v>672</v>
      </c>
      <c r="D459" t="s">
        <v>673</v>
      </c>
      <c r="E459" t="s">
        <v>31</v>
      </c>
      <c r="F459" t="s">
        <v>14</v>
      </c>
      <c r="G459" t="s">
        <v>37</v>
      </c>
      <c r="H459" t="s">
        <v>22</v>
      </c>
      <c r="I459" t="s">
        <v>48</v>
      </c>
      <c r="J459">
        <v>5</v>
      </c>
      <c r="K459">
        <v>4104.53</v>
      </c>
      <c r="L459">
        <v>1042.93</v>
      </c>
    </row>
    <row r="460" spans="1:12" x14ac:dyDescent="0.25">
      <c r="A460">
        <v>10459</v>
      </c>
      <c r="B460" t="s">
        <v>988</v>
      </c>
      <c r="C460" t="s">
        <v>674</v>
      </c>
      <c r="D460" t="s">
        <v>675</v>
      </c>
      <c r="E460" t="s">
        <v>31</v>
      </c>
      <c r="F460" t="s">
        <v>46</v>
      </c>
      <c r="G460" t="s">
        <v>71</v>
      </c>
      <c r="H460" t="s">
        <v>22</v>
      </c>
      <c r="I460" t="s">
        <v>34</v>
      </c>
      <c r="J460">
        <v>2</v>
      </c>
      <c r="K460">
        <v>2653.58</v>
      </c>
      <c r="L460">
        <v>736.93</v>
      </c>
    </row>
    <row r="461" spans="1:12" x14ac:dyDescent="0.25">
      <c r="A461">
        <v>10460</v>
      </c>
      <c r="B461" t="s">
        <v>988</v>
      </c>
      <c r="C461" t="s">
        <v>639</v>
      </c>
      <c r="D461" t="s">
        <v>676</v>
      </c>
      <c r="E461" t="s">
        <v>13</v>
      </c>
      <c r="F461" t="s">
        <v>46</v>
      </c>
      <c r="G461" t="s">
        <v>71</v>
      </c>
      <c r="H461" t="s">
        <v>16</v>
      </c>
      <c r="I461" t="s">
        <v>81</v>
      </c>
      <c r="J461">
        <v>5</v>
      </c>
      <c r="K461">
        <v>2458.0300000000002</v>
      </c>
      <c r="L461">
        <v>270.48</v>
      </c>
    </row>
    <row r="462" spans="1:12" x14ac:dyDescent="0.25">
      <c r="A462">
        <v>10461</v>
      </c>
      <c r="B462" t="s">
        <v>988</v>
      </c>
      <c r="C462" t="s">
        <v>677</v>
      </c>
      <c r="D462" t="s">
        <v>678</v>
      </c>
      <c r="E462" t="s">
        <v>26</v>
      </c>
      <c r="F462" t="s">
        <v>46</v>
      </c>
      <c r="G462" t="s">
        <v>71</v>
      </c>
      <c r="H462" t="s">
        <v>22</v>
      </c>
      <c r="I462" t="s">
        <v>34</v>
      </c>
      <c r="J462">
        <v>6</v>
      </c>
      <c r="K462">
        <v>173.83</v>
      </c>
      <c r="L462">
        <v>-15.26</v>
      </c>
    </row>
    <row r="463" spans="1:12" x14ac:dyDescent="0.25">
      <c r="A463">
        <v>10462</v>
      </c>
      <c r="B463" t="s">
        <v>988</v>
      </c>
      <c r="C463" t="s">
        <v>52</v>
      </c>
      <c r="D463" t="s">
        <v>574</v>
      </c>
      <c r="E463" t="s">
        <v>13</v>
      </c>
      <c r="F463" t="s">
        <v>14</v>
      </c>
      <c r="G463" t="s">
        <v>15</v>
      </c>
      <c r="H463" t="s">
        <v>16</v>
      </c>
      <c r="I463" t="s">
        <v>51</v>
      </c>
      <c r="J463">
        <v>3</v>
      </c>
      <c r="K463">
        <v>1919.85</v>
      </c>
      <c r="L463">
        <v>123.17</v>
      </c>
    </row>
    <row r="464" spans="1:12" x14ac:dyDescent="0.25">
      <c r="A464">
        <v>10463</v>
      </c>
      <c r="B464" t="s">
        <v>988</v>
      </c>
      <c r="C464" t="s">
        <v>236</v>
      </c>
      <c r="D464" t="s">
        <v>679</v>
      </c>
      <c r="E464" t="s">
        <v>13</v>
      </c>
      <c r="F464" t="s">
        <v>32</v>
      </c>
      <c r="G464" t="s">
        <v>33</v>
      </c>
      <c r="H464" t="s">
        <v>22</v>
      </c>
      <c r="I464" t="s">
        <v>38</v>
      </c>
      <c r="J464">
        <v>3</v>
      </c>
      <c r="K464">
        <v>3536.51</v>
      </c>
      <c r="L464">
        <v>864</v>
      </c>
    </row>
    <row r="465" spans="1:12" x14ac:dyDescent="0.25">
      <c r="A465">
        <v>10464</v>
      </c>
      <c r="B465" t="s">
        <v>988</v>
      </c>
      <c r="C465" t="s">
        <v>102</v>
      </c>
      <c r="D465" t="s">
        <v>447</v>
      </c>
      <c r="E465" t="s">
        <v>13</v>
      </c>
      <c r="F465" t="s">
        <v>32</v>
      </c>
      <c r="G465" t="s">
        <v>54</v>
      </c>
      <c r="H465" t="s">
        <v>16</v>
      </c>
      <c r="I465" t="s">
        <v>43</v>
      </c>
      <c r="J465">
        <v>1</v>
      </c>
      <c r="K465">
        <v>3477.32</v>
      </c>
      <c r="L465">
        <v>471.76</v>
      </c>
    </row>
    <row r="466" spans="1:12" x14ac:dyDescent="0.25">
      <c r="A466">
        <v>10465</v>
      </c>
      <c r="B466" t="s">
        <v>988</v>
      </c>
      <c r="C466" t="s">
        <v>55</v>
      </c>
      <c r="D466" t="s">
        <v>680</v>
      </c>
      <c r="E466" t="s">
        <v>13</v>
      </c>
      <c r="F466" t="s">
        <v>20</v>
      </c>
      <c r="G466" t="s">
        <v>76</v>
      </c>
      <c r="H466" t="s">
        <v>16</v>
      </c>
      <c r="I466" t="s">
        <v>51</v>
      </c>
      <c r="J466">
        <v>4</v>
      </c>
      <c r="K466">
        <v>2876.84</v>
      </c>
      <c r="L466">
        <v>502.45</v>
      </c>
    </row>
    <row r="467" spans="1:12" x14ac:dyDescent="0.25">
      <c r="A467">
        <v>10466</v>
      </c>
      <c r="B467" t="s">
        <v>988</v>
      </c>
      <c r="C467" t="s">
        <v>681</v>
      </c>
      <c r="D467" t="s">
        <v>453</v>
      </c>
      <c r="E467" t="s">
        <v>13</v>
      </c>
      <c r="F467" t="s">
        <v>46</v>
      </c>
      <c r="G467" t="s">
        <v>71</v>
      </c>
      <c r="H467" t="s">
        <v>16</v>
      </c>
      <c r="I467" t="s">
        <v>43</v>
      </c>
      <c r="J467">
        <v>8</v>
      </c>
      <c r="K467">
        <v>1548.8</v>
      </c>
      <c r="L467">
        <v>142.69999999999999</v>
      </c>
    </row>
    <row r="468" spans="1:12" x14ac:dyDescent="0.25">
      <c r="A468">
        <v>10467</v>
      </c>
      <c r="B468" t="s">
        <v>988</v>
      </c>
      <c r="C468" t="s">
        <v>529</v>
      </c>
      <c r="D468" t="s">
        <v>646</v>
      </c>
      <c r="E468" t="s">
        <v>13</v>
      </c>
      <c r="F468" t="s">
        <v>20</v>
      </c>
      <c r="G468" t="s">
        <v>21</v>
      </c>
      <c r="H468" t="s">
        <v>22</v>
      </c>
      <c r="I468" t="s">
        <v>38</v>
      </c>
      <c r="J468">
        <v>4</v>
      </c>
      <c r="K468">
        <v>1671.4</v>
      </c>
      <c r="L468">
        <v>13.32</v>
      </c>
    </row>
    <row r="469" spans="1:12" x14ac:dyDescent="0.25">
      <c r="A469">
        <v>10468</v>
      </c>
      <c r="B469" t="s">
        <v>988</v>
      </c>
      <c r="C469" t="s">
        <v>63</v>
      </c>
      <c r="D469" t="s">
        <v>437</v>
      </c>
      <c r="E469" t="s">
        <v>26</v>
      </c>
      <c r="F469" t="s">
        <v>20</v>
      </c>
      <c r="G469" t="s">
        <v>21</v>
      </c>
      <c r="H469" t="s">
        <v>16</v>
      </c>
      <c r="I469" t="s">
        <v>17</v>
      </c>
      <c r="J469">
        <v>6</v>
      </c>
      <c r="K469">
        <v>2108.04</v>
      </c>
      <c r="L469">
        <v>265.49</v>
      </c>
    </row>
    <row r="470" spans="1:12" x14ac:dyDescent="0.25">
      <c r="A470">
        <v>10469</v>
      </c>
      <c r="B470" t="s">
        <v>988</v>
      </c>
      <c r="C470" t="s">
        <v>529</v>
      </c>
      <c r="D470" t="s">
        <v>439</v>
      </c>
      <c r="E470" t="s">
        <v>31</v>
      </c>
      <c r="F470" t="s">
        <v>46</v>
      </c>
      <c r="G470" t="s">
        <v>71</v>
      </c>
      <c r="H470" t="s">
        <v>22</v>
      </c>
      <c r="I470" t="s">
        <v>48</v>
      </c>
      <c r="J470">
        <v>2</v>
      </c>
      <c r="K470">
        <v>2478.31</v>
      </c>
      <c r="L470">
        <v>128</v>
      </c>
    </row>
    <row r="471" spans="1:12" x14ac:dyDescent="0.25">
      <c r="A471">
        <v>10470</v>
      </c>
      <c r="B471" t="s">
        <v>988</v>
      </c>
      <c r="C471" t="s">
        <v>682</v>
      </c>
      <c r="D471" t="s">
        <v>683</v>
      </c>
      <c r="E471" t="s">
        <v>13</v>
      </c>
      <c r="F471" t="s">
        <v>32</v>
      </c>
      <c r="G471" t="s">
        <v>33</v>
      </c>
      <c r="H471" t="s">
        <v>27</v>
      </c>
      <c r="I471" t="s">
        <v>104</v>
      </c>
      <c r="J471">
        <v>2</v>
      </c>
      <c r="K471">
        <v>164.12</v>
      </c>
      <c r="L471">
        <v>-19.579999999999998</v>
      </c>
    </row>
    <row r="472" spans="1:12" x14ac:dyDescent="0.25">
      <c r="A472">
        <v>10471</v>
      </c>
      <c r="B472" t="s">
        <v>988</v>
      </c>
      <c r="C472" t="s">
        <v>286</v>
      </c>
      <c r="D472" t="s">
        <v>147</v>
      </c>
      <c r="E472" t="s">
        <v>13</v>
      </c>
      <c r="F472" t="s">
        <v>14</v>
      </c>
      <c r="G472" t="s">
        <v>37</v>
      </c>
      <c r="H472" t="s">
        <v>16</v>
      </c>
      <c r="I472" t="s">
        <v>51</v>
      </c>
      <c r="J472">
        <v>6</v>
      </c>
      <c r="K472">
        <v>3991.82</v>
      </c>
      <c r="L472">
        <v>196.08</v>
      </c>
    </row>
    <row r="473" spans="1:12" x14ac:dyDescent="0.25">
      <c r="A473">
        <v>10472</v>
      </c>
      <c r="B473" t="s">
        <v>988</v>
      </c>
      <c r="C473" t="s">
        <v>403</v>
      </c>
      <c r="D473" t="s">
        <v>323</v>
      </c>
      <c r="E473" t="s">
        <v>13</v>
      </c>
      <c r="F473" t="s">
        <v>14</v>
      </c>
      <c r="G473" t="s">
        <v>37</v>
      </c>
      <c r="H473" t="s">
        <v>22</v>
      </c>
      <c r="I473" t="s">
        <v>48</v>
      </c>
      <c r="J473">
        <v>2</v>
      </c>
      <c r="K473">
        <v>596</v>
      </c>
      <c r="L473">
        <v>25.69</v>
      </c>
    </row>
    <row r="474" spans="1:12" x14ac:dyDescent="0.25">
      <c r="A474">
        <v>10473</v>
      </c>
      <c r="B474" t="s">
        <v>988</v>
      </c>
      <c r="C474" t="s">
        <v>405</v>
      </c>
      <c r="D474" t="s">
        <v>684</v>
      </c>
      <c r="E474" t="s">
        <v>31</v>
      </c>
      <c r="F474" t="s">
        <v>46</v>
      </c>
      <c r="G474" t="s">
        <v>71</v>
      </c>
      <c r="H474" t="s">
        <v>16</v>
      </c>
      <c r="I474" t="s">
        <v>51</v>
      </c>
      <c r="J474">
        <v>2</v>
      </c>
      <c r="K474">
        <v>3854.79</v>
      </c>
      <c r="L474">
        <v>680.92</v>
      </c>
    </row>
    <row r="475" spans="1:12" x14ac:dyDescent="0.25">
      <c r="A475">
        <v>10474</v>
      </c>
      <c r="B475" t="s">
        <v>988</v>
      </c>
      <c r="C475" t="s">
        <v>685</v>
      </c>
      <c r="D475" t="s">
        <v>471</v>
      </c>
      <c r="E475" t="s">
        <v>13</v>
      </c>
      <c r="F475" t="s">
        <v>14</v>
      </c>
      <c r="G475" t="s">
        <v>15</v>
      </c>
      <c r="H475" t="s">
        <v>22</v>
      </c>
      <c r="I475" t="s">
        <v>34</v>
      </c>
      <c r="J475">
        <v>6</v>
      </c>
      <c r="K475">
        <v>3321.91</v>
      </c>
      <c r="L475">
        <v>549.5</v>
      </c>
    </row>
    <row r="476" spans="1:12" x14ac:dyDescent="0.25">
      <c r="A476">
        <v>10475</v>
      </c>
      <c r="B476" t="s">
        <v>988</v>
      </c>
      <c r="C476" t="s">
        <v>341</v>
      </c>
      <c r="D476" t="s">
        <v>686</v>
      </c>
      <c r="E476" t="s">
        <v>31</v>
      </c>
      <c r="F476" t="s">
        <v>32</v>
      </c>
      <c r="G476" t="s">
        <v>54</v>
      </c>
      <c r="H476" t="s">
        <v>27</v>
      </c>
      <c r="I476" t="s">
        <v>77</v>
      </c>
      <c r="J476">
        <v>6</v>
      </c>
      <c r="K476">
        <v>3081.23</v>
      </c>
      <c r="L476">
        <v>566.46</v>
      </c>
    </row>
    <row r="477" spans="1:12" x14ac:dyDescent="0.25">
      <c r="A477">
        <v>10476</v>
      </c>
      <c r="B477" t="s">
        <v>988</v>
      </c>
      <c r="C477" t="s">
        <v>687</v>
      </c>
      <c r="D477" t="s">
        <v>143</v>
      </c>
      <c r="E477" t="s">
        <v>31</v>
      </c>
      <c r="F477" t="s">
        <v>32</v>
      </c>
      <c r="G477" t="s">
        <v>54</v>
      </c>
      <c r="H477" t="s">
        <v>27</v>
      </c>
      <c r="I477" t="s">
        <v>77</v>
      </c>
      <c r="J477">
        <v>1</v>
      </c>
      <c r="K477">
        <v>3658.94</v>
      </c>
      <c r="L477">
        <v>1022.52</v>
      </c>
    </row>
    <row r="478" spans="1:12" x14ac:dyDescent="0.25">
      <c r="A478">
        <v>10477</v>
      </c>
      <c r="B478" t="s">
        <v>988</v>
      </c>
      <c r="C478" t="s">
        <v>554</v>
      </c>
      <c r="D478" t="s">
        <v>688</v>
      </c>
      <c r="E478" t="s">
        <v>13</v>
      </c>
      <c r="F478" t="s">
        <v>14</v>
      </c>
      <c r="G478" t="s">
        <v>37</v>
      </c>
      <c r="H478" t="s">
        <v>22</v>
      </c>
      <c r="I478" t="s">
        <v>48</v>
      </c>
      <c r="J478">
        <v>6</v>
      </c>
      <c r="K478">
        <v>206.34</v>
      </c>
      <c r="L478">
        <v>-16.260000000000002</v>
      </c>
    </row>
    <row r="479" spans="1:12" x14ac:dyDescent="0.25">
      <c r="A479">
        <v>10478</v>
      </c>
      <c r="B479" t="s">
        <v>988</v>
      </c>
      <c r="C479" t="s">
        <v>672</v>
      </c>
      <c r="D479" t="s">
        <v>510</v>
      </c>
      <c r="E479" t="s">
        <v>31</v>
      </c>
      <c r="F479" t="s">
        <v>46</v>
      </c>
      <c r="G479" t="s">
        <v>71</v>
      </c>
      <c r="H479" t="s">
        <v>22</v>
      </c>
      <c r="I479" t="s">
        <v>34</v>
      </c>
      <c r="J479">
        <v>6</v>
      </c>
      <c r="K479">
        <v>864.92</v>
      </c>
      <c r="L479">
        <v>11.58</v>
      </c>
    </row>
    <row r="480" spans="1:12" x14ac:dyDescent="0.25">
      <c r="A480">
        <v>10479</v>
      </c>
      <c r="B480" t="s">
        <v>988</v>
      </c>
      <c r="C480" t="s">
        <v>317</v>
      </c>
      <c r="D480" t="s">
        <v>689</v>
      </c>
      <c r="E480" t="s">
        <v>13</v>
      </c>
      <c r="F480" t="s">
        <v>32</v>
      </c>
      <c r="G480" t="s">
        <v>33</v>
      </c>
      <c r="H480" t="s">
        <v>16</v>
      </c>
      <c r="I480" t="s">
        <v>51</v>
      </c>
      <c r="J480">
        <v>4</v>
      </c>
      <c r="K480">
        <v>3697.9</v>
      </c>
      <c r="L480">
        <v>774.54</v>
      </c>
    </row>
    <row r="481" spans="1:12" x14ac:dyDescent="0.25">
      <c r="A481">
        <v>10480</v>
      </c>
      <c r="B481" t="s">
        <v>988</v>
      </c>
      <c r="C481" t="s">
        <v>421</v>
      </c>
      <c r="D481" t="s">
        <v>299</v>
      </c>
      <c r="E481" t="s">
        <v>26</v>
      </c>
      <c r="F481" t="s">
        <v>14</v>
      </c>
      <c r="G481" t="s">
        <v>37</v>
      </c>
      <c r="H481" t="s">
        <v>22</v>
      </c>
      <c r="I481" t="s">
        <v>34</v>
      </c>
      <c r="J481">
        <v>2</v>
      </c>
      <c r="K481">
        <v>3922.6</v>
      </c>
      <c r="L481">
        <v>1066.72</v>
      </c>
    </row>
    <row r="482" spans="1:12" x14ac:dyDescent="0.25">
      <c r="A482">
        <v>10481</v>
      </c>
      <c r="B482" t="s">
        <v>988</v>
      </c>
      <c r="C482" t="s">
        <v>100</v>
      </c>
      <c r="D482" t="s">
        <v>690</v>
      </c>
      <c r="E482" t="s">
        <v>13</v>
      </c>
      <c r="F482" t="s">
        <v>46</v>
      </c>
      <c r="G482" t="s">
        <v>71</v>
      </c>
      <c r="H482" t="s">
        <v>16</v>
      </c>
      <c r="I482" t="s">
        <v>51</v>
      </c>
      <c r="J482">
        <v>1</v>
      </c>
      <c r="K482">
        <v>1593.44</v>
      </c>
      <c r="L482">
        <v>42.08</v>
      </c>
    </row>
    <row r="483" spans="1:12" x14ac:dyDescent="0.25">
      <c r="A483">
        <v>10482</v>
      </c>
      <c r="B483" t="s">
        <v>988</v>
      </c>
      <c r="C483" t="s">
        <v>413</v>
      </c>
      <c r="D483" t="s">
        <v>691</v>
      </c>
      <c r="E483" t="s">
        <v>31</v>
      </c>
      <c r="F483" t="s">
        <v>46</v>
      </c>
      <c r="G483" t="s">
        <v>71</v>
      </c>
      <c r="H483" t="s">
        <v>22</v>
      </c>
      <c r="I483" t="s">
        <v>34</v>
      </c>
      <c r="J483">
        <v>8</v>
      </c>
      <c r="K483">
        <v>3788.92</v>
      </c>
      <c r="L483">
        <v>725.34</v>
      </c>
    </row>
    <row r="484" spans="1:12" x14ac:dyDescent="0.25">
      <c r="A484">
        <v>10483</v>
      </c>
      <c r="B484" t="s">
        <v>988</v>
      </c>
      <c r="C484" t="s">
        <v>431</v>
      </c>
      <c r="D484" t="s">
        <v>66</v>
      </c>
      <c r="E484" t="s">
        <v>13</v>
      </c>
      <c r="F484" t="s">
        <v>46</v>
      </c>
      <c r="G484" t="s">
        <v>71</v>
      </c>
      <c r="H484" t="s">
        <v>27</v>
      </c>
      <c r="I484" t="s">
        <v>118</v>
      </c>
      <c r="J484">
        <v>8</v>
      </c>
      <c r="K484">
        <v>2900.06</v>
      </c>
      <c r="L484">
        <v>140.84</v>
      </c>
    </row>
    <row r="485" spans="1:12" x14ac:dyDescent="0.25">
      <c r="A485">
        <v>10484</v>
      </c>
      <c r="B485" t="s">
        <v>988</v>
      </c>
      <c r="C485" t="s">
        <v>336</v>
      </c>
      <c r="D485" t="s">
        <v>621</v>
      </c>
      <c r="E485" t="s">
        <v>13</v>
      </c>
      <c r="F485" t="s">
        <v>20</v>
      </c>
      <c r="G485" t="s">
        <v>21</v>
      </c>
      <c r="H485" t="s">
        <v>22</v>
      </c>
      <c r="I485" t="s">
        <v>34</v>
      </c>
      <c r="J485">
        <v>4</v>
      </c>
      <c r="K485">
        <v>2490.52</v>
      </c>
      <c r="L485">
        <v>511.03</v>
      </c>
    </row>
    <row r="486" spans="1:12" x14ac:dyDescent="0.25">
      <c r="A486">
        <v>10485</v>
      </c>
      <c r="B486" t="s">
        <v>988</v>
      </c>
      <c r="C486" t="s">
        <v>312</v>
      </c>
      <c r="D486" t="s">
        <v>387</v>
      </c>
      <c r="E486" t="s">
        <v>31</v>
      </c>
      <c r="F486" t="s">
        <v>46</v>
      </c>
      <c r="G486" t="s">
        <v>71</v>
      </c>
      <c r="H486" t="s">
        <v>22</v>
      </c>
      <c r="I486" t="s">
        <v>38</v>
      </c>
      <c r="J486">
        <v>7</v>
      </c>
      <c r="K486">
        <v>1684.72</v>
      </c>
      <c r="L486">
        <v>464.51</v>
      </c>
    </row>
    <row r="487" spans="1:12" x14ac:dyDescent="0.25">
      <c r="A487">
        <v>10486</v>
      </c>
      <c r="B487" t="s">
        <v>988</v>
      </c>
      <c r="C487" t="s">
        <v>268</v>
      </c>
      <c r="D487" t="s">
        <v>692</v>
      </c>
      <c r="E487" t="s">
        <v>31</v>
      </c>
      <c r="F487" t="s">
        <v>32</v>
      </c>
      <c r="G487" t="s">
        <v>54</v>
      </c>
      <c r="H487" t="s">
        <v>22</v>
      </c>
      <c r="I487" t="s">
        <v>38</v>
      </c>
      <c r="J487">
        <v>6</v>
      </c>
      <c r="K487">
        <v>3010</v>
      </c>
      <c r="L487">
        <v>138.22999999999999</v>
      </c>
    </row>
    <row r="488" spans="1:12" x14ac:dyDescent="0.25">
      <c r="A488">
        <v>10487</v>
      </c>
      <c r="B488" t="s">
        <v>988</v>
      </c>
      <c r="C488" t="s">
        <v>431</v>
      </c>
      <c r="D488" t="s">
        <v>539</v>
      </c>
      <c r="E488" t="s">
        <v>13</v>
      </c>
      <c r="F488" t="s">
        <v>46</v>
      </c>
      <c r="G488" t="s">
        <v>47</v>
      </c>
      <c r="H488" t="s">
        <v>22</v>
      </c>
      <c r="I488" t="s">
        <v>48</v>
      </c>
      <c r="J488">
        <v>4</v>
      </c>
      <c r="K488">
        <v>3458.26</v>
      </c>
      <c r="L488">
        <v>234.93</v>
      </c>
    </row>
    <row r="489" spans="1:12" x14ac:dyDescent="0.25">
      <c r="A489">
        <v>10488</v>
      </c>
      <c r="B489" t="s">
        <v>988</v>
      </c>
      <c r="C489" t="s">
        <v>155</v>
      </c>
      <c r="D489" t="s">
        <v>693</v>
      </c>
      <c r="E489" t="s">
        <v>26</v>
      </c>
      <c r="F489" t="s">
        <v>14</v>
      </c>
      <c r="G489" t="s">
        <v>15</v>
      </c>
      <c r="H489" t="s">
        <v>16</v>
      </c>
      <c r="I489" t="s">
        <v>43</v>
      </c>
      <c r="J489">
        <v>5</v>
      </c>
      <c r="K489">
        <v>167.29</v>
      </c>
      <c r="L489">
        <v>26.25</v>
      </c>
    </row>
    <row r="490" spans="1:12" x14ac:dyDescent="0.25">
      <c r="A490">
        <v>10489</v>
      </c>
      <c r="B490" t="s">
        <v>988</v>
      </c>
      <c r="C490" t="s">
        <v>694</v>
      </c>
      <c r="D490" t="s">
        <v>30</v>
      </c>
      <c r="E490" t="s">
        <v>26</v>
      </c>
      <c r="F490" t="s">
        <v>32</v>
      </c>
      <c r="G490" t="s">
        <v>33</v>
      </c>
      <c r="H490" t="s">
        <v>16</v>
      </c>
      <c r="I490" t="s">
        <v>43</v>
      </c>
      <c r="J490">
        <v>4</v>
      </c>
      <c r="K490">
        <v>2777.48</v>
      </c>
      <c r="L490">
        <v>605.02</v>
      </c>
    </row>
    <row r="491" spans="1:12" x14ac:dyDescent="0.25">
      <c r="A491">
        <v>10490</v>
      </c>
      <c r="B491" t="s">
        <v>988</v>
      </c>
      <c r="C491" t="s">
        <v>264</v>
      </c>
      <c r="D491" t="s">
        <v>695</v>
      </c>
      <c r="E491" t="s">
        <v>26</v>
      </c>
      <c r="F491" t="s">
        <v>14</v>
      </c>
      <c r="G491" t="s">
        <v>37</v>
      </c>
      <c r="H491" t="s">
        <v>16</v>
      </c>
      <c r="I491" t="s">
        <v>81</v>
      </c>
      <c r="J491">
        <v>5</v>
      </c>
      <c r="K491">
        <v>934.57</v>
      </c>
      <c r="L491">
        <v>34.17</v>
      </c>
    </row>
    <row r="492" spans="1:12" x14ac:dyDescent="0.25">
      <c r="A492">
        <v>10491</v>
      </c>
      <c r="B492" t="s">
        <v>988</v>
      </c>
      <c r="C492" t="s">
        <v>517</v>
      </c>
      <c r="D492" t="s">
        <v>696</v>
      </c>
      <c r="E492" t="s">
        <v>31</v>
      </c>
      <c r="F492" t="s">
        <v>20</v>
      </c>
      <c r="G492" t="s">
        <v>21</v>
      </c>
      <c r="H492" t="s">
        <v>22</v>
      </c>
      <c r="I492" t="s">
        <v>34</v>
      </c>
      <c r="J492">
        <v>5</v>
      </c>
      <c r="K492">
        <v>3348.61</v>
      </c>
      <c r="L492">
        <v>895.62</v>
      </c>
    </row>
    <row r="493" spans="1:12" x14ac:dyDescent="0.25">
      <c r="A493">
        <v>10492</v>
      </c>
      <c r="B493" t="s">
        <v>988</v>
      </c>
      <c r="C493" t="s">
        <v>547</v>
      </c>
      <c r="D493" t="s">
        <v>58</v>
      </c>
      <c r="E493" t="s">
        <v>31</v>
      </c>
      <c r="F493" t="s">
        <v>20</v>
      </c>
      <c r="G493" t="s">
        <v>21</v>
      </c>
      <c r="H493" t="s">
        <v>27</v>
      </c>
      <c r="I493" t="s">
        <v>118</v>
      </c>
      <c r="J493">
        <v>6</v>
      </c>
      <c r="K493">
        <v>2474.84</v>
      </c>
      <c r="L493">
        <v>484.38</v>
      </c>
    </row>
    <row r="494" spans="1:12" x14ac:dyDescent="0.25">
      <c r="A494">
        <v>10493</v>
      </c>
      <c r="B494" t="s">
        <v>988</v>
      </c>
      <c r="C494" t="s">
        <v>279</v>
      </c>
      <c r="D494" t="s">
        <v>697</v>
      </c>
      <c r="E494" t="s">
        <v>31</v>
      </c>
      <c r="F494" t="s">
        <v>14</v>
      </c>
      <c r="G494" t="s">
        <v>15</v>
      </c>
      <c r="H494" t="s">
        <v>22</v>
      </c>
      <c r="I494" t="s">
        <v>38</v>
      </c>
      <c r="J494">
        <v>6</v>
      </c>
      <c r="K494">
        <v>2500.67</v>
      </c>
      <c r="L494">
        <v>588.57000000000005</v>
      </c>
    </row>
    <row r="495" spans="1:12" x14ac:dyDescent="0.25">
      <c r="A495">
        <v>10494</v>
      </c>
      <c r="B495" t="s">
        <v>988</v>
      </c>
      <c r="C495" t="s">
        <v>698</v>
      </c>
      <c r="D495" t="s">
        <v>445</v>
      </c>
      <c r="E495" t="s">
        <v>31</v>
      </c>
      <c r="F495" t="s">
        <v>32</v>
      </c>
      <c r="G495" t="s">
        <v>33</v>
      </c>
      <c r="H495" t="s">
        <v>16</v>
      </c>
      <c r="I495" t="s">
        <v>17</v>
      </c>
      <c r="J495">
        <v>1</v>
      </c>
      <c r="K495">
        <v>3166.38</v>
      </c>
      <c r="L495">
        <v>764.84</v>
      </c>
    </row>
    <row r="496" spans="1:12" x14ac:dyDescent="0.25">
      <c r="A496">
        <v>10495</v>
      </c>
      <c r="B496" t="s">
        <v>988</v>
      </c>
      <c r="C496" t="s">
        <v>514</v>
      </c>
      <c r="D496" t="s">
        <v>385</v>
      </c>
      <c r="E496" t="s">
        <v>13</v>
      </c>
      <c r="F496" t="s">
        <v>46</v>
      </c>
      <c r="G496" t="s">
        <v>71</v>
      </c>
      <c r="H496" t="s">
        <v>27</v>
      </c>
      <c r="I496" t="s">
        <v>77</v>
      </c>
      <c r="J496">
        <v>3</v>
      </c>
      <c r="K496">
        <v>530.20000000000005</v>
      </c>
      <c r="L496">
        <v>-18.89</v>
      </c>
    </row>
    <row r="497" spans="1:12" x14ac:dyDescent="0.25">
      <c r="A497">
        <v>10496</v>
      </c>
      <c r="B497" t="s">
        <v>988</v>
      </c>
      <c r="C497" t="s">
        <v>84</v>
      </c>
      <c r="D497" t="s">
        <v>699</v>
      </c>
      <c r="E497" t="s">
        <v>26</v>
      </c>
      <c r="F497" t="s">
        <v>46</v>
      </c>
      <c r="G497" t="s">
        <v>47</v>
      </c>
      <c r="H497" t="s">
        <v>22</v>
      </c>
      <c r="I497" t="s">
        <v>48</v>
      </c>
      <c r="J497">
        <v>7</v>
      </c>
      <c r="K497">
        <v>4855.63</v>
      </c>
      <c r="L497">
        <v>1314.19</v>
      </c>
    </row>
    <row r="498" spans="1:12" x14ac:dyDescent="0.25">
      <c r="A498">
        <v>10497</v>
      </c>
      <c r="B498" t="s">
        <v>988</v>
      </c>
      <c r="C498" t="s">
        <v>121</v>
      </c>
      <c r="D498" t="s">
        <v>700</v>
      </c>
      <c r="E498" t="s">
        <v>26</v>
      </c>
      <c r="F498" t="s">
        <v>46</v>
      </c>
      <c r="G498" t="s">
        <v>71</v>
      </c>
      <c r="H498" t="s">
        <v>22</v>
      </c>
      <c r="I498" t="s">
        <v>38</v>
      </c>
      <c r="J498">
        <v>3</v>
      </c>
      <c r="K498">
        <v>2207.3200000000002</v>
      </c>
      <c r="L498">
        <v>534.98</v>
      </c>
    </row>
    <row r="499" spans="1:12" x14ac:dyDescent="0.25">
      <c r="A499">
        <v>10498</v>
      </c>
      <c r="B499" t="s">
        <v>988</v>
      </c>
      <c r="C499" t="s">
        <v>334</v>
      </c>
      <c r="D499" t="s">
        <v>387</v>
      </c>
      <c r="E499" t="s">
        <v>31</v>
      </c>
      <c r="F499" t="s">
        <v>32</v>
      </c>
      <c r="G499" t="s">
        <v>33</v>
      </c>
      <c r="H499" t="s">
        <v>16</v>
      </c>
      <c r="I499" t="s">
        <v>81</v>
      </c>
      <c r="J499">
        <v>3</v>
      </c>
      <c r="K499">
        <v>1656.23</v>
      </c>
      <c r="L499">
        <v>374.32</v>
      </c>
    </row>
    <row r="500" spans="1:12" x14ac:dyDescent="0.25">
      <c r="A500">
        <v>10499</v>
      </c>
      <c r="B500" t="s">
        <v>988</v>
      </c>
      <c r="C500" t="s">
        <v>514</v>
      </c>
      <c r="D500" t="s">
        <v>692</v>
      </c>
      <c r="E500" t="s">
        <v>31</v>
      </c>
      <c r="F500" t="s">
        <v>32</v>
      </c>
      <c r="G500" t="s">
        <v>54</v>
      </c>
      <c r="H500" t="s">
        <v>16</v>
      </c>
      <c r="I500" t="s">
        <v>17</v>
      </c>
      <c r="J500">
        <v>3</v>
      </c>
      <c r="K500">
        <v>3917.63</v>
      </c>
      <c r="L500">
        <v>281.98</v>
      </c>
    </row>
    <row r="501" spans="1:12" x14ac:dyDescent="0.25">
      <c r="A501">
        <v>10500</v>
      </c>
      <c r="B501" t="s">
        <v>988</v>
      </c>
      <c r="C501" t="s">
        <v>411</v>
      </c>
      <c r="D501" t="s">
        <v>271</v>
      </c>
      <c r="E501" t="s">
        <v>13</v>
      </c>
      <c r="F501" t="s">
        <v>46</v>
      </c>
      <c r="G501" t="s">
        <v>71</v>
      </c>
      <c r="H501" t="s">
        <v>22</v>
      </c>
      <c r="I501" t="s">
        <v>23</v>
      </c>
      <c r="J501">
        <v>6</v>
      </c>
      <c r="K501">
        <v>489.43</v>
      </c>
      <c r="L501">
        <v>106.48</v>
      </c>
    </row>
    <row r="502" spans="1:12" x14ac:dyDescent="0.25">
      <c r="A502">
        <v>10501</v>
      </c>
      <c r="B502" t="s">
        <v>988</v>
      </c>
      <c r="C502" t="s">
        <v>701</v>
      </c>
      <c r="D502" t="s">
        <v>702</v>
      </c>
      <c r="E502" t="s">
        <v>31</v>
      </c>
      <c r="F502" t="s">
        <v>32</v>
      </c>
      <c r="G502" t="s">
        <v>33</v>
      </c>
      <c r="H502" t="s">
        <v>27</v>
      </c>
      <c r="I502" t="s">
        <v>77</v>
      </c>
      <c r="J502">
        <v>8</v>
      </c>
      <c r="K502">
        <v>773.81</v>
      </c>
      <c r="L502">
        <v>72.849999999999994</v>
      </c>
    </row>
    <row r="503" spans="1:12" x14ac:dyDescent="0.25">
      <c r="A503">
        <v>10502</v>
      </c>
      <c r="B503" t="s">
        <v>988</v>
      </c>
      <c r="C503" t="s">
        <v>442</v>
      </c>
      <c r="D503" t="s">
        <v>42</v>
      </c>
      <c r="E503" t="s">
        <v>31</v>
      </c>
      <c r="F503" t="s">
        <v>46</v>
      </c>
      <c r="G503" t="s">
        <v>71</v>
      </c>
      <c r="H503" t="s">
        <v>22</v>
      </c>
      <c r="I503" t="s">
        <v>23</v>
      </c>
      <c r="J503">
        <v>3</v>
      </c>
      <c r="K503">
        <v>4642.8100000000004</v>
      </c>
      <c r="L503">
        <v>1289.45</v>
      </c>
    </row>
    <row r="504" spans="1:12" x14ac:dyDescent="0.25">
      <c r="A504">
        <v>10503</v>
      </c>
      <c r="B504" t="s">
        <v>988</v>
      </c>
      <c r="C504" t="s">
        <v>703</v>
      </c>
      <c r="D504" t="s">
        <v>704</v>
      </c>
      <c r="E504" t="s">
        <v>13</v>
      </c>
      <c r="F504" t="s">
        <v>20</v>
      </c>
      <c r="G504" t="s">
        <v>21</v>
      </c>
      <c r="H504" t="s">
        <v>27</v>
      </c>
      <c r="I504" t="s">
        <v>77</v>
      </c>
      <c r="J504">
        <v>1</v>
      </c>
      <c r="K504">
        <v>3078.86</v>
      </c>
      <c r="L504">
        <v>716.42</v>
      </c>
    </row>
    <row r="505" spans="1:12" x14ac:dyDescent="0.25">
      <c r="A505">
        <v>10504</v>
      </c>
      <c r="B505" t="s">
        <v>988</v>
      </c>
      <c r="C505" t="s">
        <v>102</v>
      </c>
      <c r="D505" t="s">
        <v>705</v>
      </c>
      <c r="E505" t="s">
        <v>31</v>
      </c>
      <c r="F505" t="s">
        <v>14</v>
      </c>
      <c r="G505" t="s">
        <v>15</v>
      </c>
      <c r="H505" t="s">
        <v>27</v>
      </c>
      <c r="I505" t="s">
        <v>77</v>
      </c>
      <c r="J505">
        <v>1</v>
      </c>
      <c r="K505">
        <v>4401.12</v>
      </c>
      <c r="L505">
        <v>436.63</v>
      </c>
    </row>
    <row r="506" spans="1:12" x14ac:dyDescent="0.25">
      <c r="A506">
        <v>10505</v>
      </c>
      <c r="B506" t="s">
        <v>988</v>
      </c>
      <c r="C506" t="s">
        <v>706</v>
      </c>
      <c r="D506" t="s">
        <v>707</v>
      </c>
      <c r="E506" t="s">
        <v>31</v>
      </c>
      <c r="F506" t="s">
        <v>14</v>
      </c>
      <c r="G506" t="s">
        <v>15</v>
      </c>
      <c r="H506" t="s">
        <v>27</v>
      </c>
      <c r="I506" t="s">
        <v>77</v>
      </c>
      <c r="J506">
        <v>7</v>
      </c>
      <c r="K506">
        <v>4433.55</v>
      </c>
      <c r="L506">
        <v>1050.6199999999999</v>
      </c>
    </row>
    <row r="507" spans="1:12" x14ac:dyDescent="0.25">
      <c r="A507">
        <v>10506</v>
      </c>
      <c r="B507" t="s">
        <v>988</v>
      </c>
      <c r="C507" t="s">
        <v>151</v>
      </c>
      <c r="D507" t="s">
        <v>708</v>
      </c>
      <c r="E507" t="s">
        <v>26</v>
      </c>
      <c r="F507" t="s">
        <v>14</v>
      </c>
      <c r="G507" t="s">
        <v>15</v>
      </c>
      <c r="H507" t="s">
        <v>27</v>
      </c>
      <c r="I507" t="s">
        <v>77</v>
      </c>
      <c r="J507">
        <v>2</v>
      </c>
      <c r="K507">
        <v>3640.97</v>
      </c>
      <c r="L507">
        <v>207.19</v>
      </c>
    </row>
    <row r="508" spans="1:12" x14ac:dyDescent="0.25">
      <c r="A508">
        <v>10507</v>
      </c>
      <c r="B508" t="s">
        <v>988</v>
      </c>
      <c r="C508" t="s">
        <v>709</v>
      </c>
      <c r="D508" t="s">
        <v>710</v>
      </c>
      <c r="E508" t="s">
        <v>26</v>
      </c>
      <c r="F508" t="s">
        <v>20</v>
      </c>
      <c r="G508" t="s">
        <v>76</v>
      </c>
      <c r="H508" t="s">
        <v>27</v>
      </c>
      <c r="I508" t="s">
        <v>77</v>
      </c>
      <c r="J508">
        <v>1</v>
      </c>
      <c r="K508">
        <v>976.51</v>
      </c>
      <c r="L508">
        <v>121.67</v>
      </c>
    </row>
    <row r="509" spans="1:12" x14ac:dyDescent="0.25">
      <c r="A509">
        <v>10508</v>
      </c>
      <c r="B509" t="s">
        <v>988</v>
      </c>
      <c r="C509" t="s">
        <v>431</v>
      </c>
      <c r="D509" t="s">
        <v>711</v>
      </c>
      <c r="E509" t="s">
        <v>13</v>
      </c>
      <c r="F509" t="s">
        <v>32</v>
      </c>
      <c r="G509" t="s">
        <v>54</v>
      </c>
      <c r="H509" t="s">
        <v>16</v>
      </c>
      <c r="I509" t="s">
        <v>43</v>
      </c>
      <c r="J509">
        <v>2</v>
      </c>
      <c r="K509">
        <v>546.84</v>
      </c>
      <c r="L509">
        <v>60.48</v>
      </c>
    </row>
    <row r="510" spans="1:12" x14ac:dyDescent="0.25">
      <c r="A510">
        <v>10509</v>
      </c>
      <c r="B510" t="s">
        <v>988</v>
      </c>
      <c r="C510" t="s">
        <v>63</v>
      </c>
      <c r="D510" t="s">
        <v>712</v>
      </c>
      <c r="E510" t="s">
        <v>26</v>
      </c>
      <c r="F510" t="s">
        <v>20</v>
      </c>
      <c r="G510" t="s">
        <v>21</v>
      </c>
      <c r="H510" t="s">
        <v>27</v>
      </c>
      <c r="I510" t="s">
        <v>77</v>
      </c>
      <c r="J510">
        <v>1</v>
      </c>
      <c r="K510">
        <v>3864.48</v>
      </c>
      <c r="L510">
        <v>1018.02</v>
      </c>
    </row>
    <row r="511" spans="1:12" x14ac:dyDescent="0.25">
      <c r="A511">
        <v>10510</v>
      </c>
      <c r="B511" t="s">
        <v>988</v>
      </c>
      <c r="C511" t="s">
        <v>214</v>
      </c>
      <c r="D511" t="s">
        <v>713</v>
      </c>
      <c r="E511" t="s">
        <v>26</v>
      </c>
      <c r="F511" t="s">
        <v>46</v>
      </c>
      <c r="G511" t="s">
        <v>71</v>
      </c>
      <c r="H511" t="s">
        <v>22</v>
      </c>
      <c r="I511" t="s">
        <v>23</v>
      </c>
      <c r="J511">
        <v>7</v>
      </c>
      <c r="K511">
        <v>1609.5</v>
      </c>
      <c r="L511">
        <v>278.18</v>
      </c>
    </row>
    <row r="512" spans="1:12" x14ac:dyDescent="0.25">
      <c r="A512">
        <v>10511</v>
      </c>
      <c r="B512" t="s">
        <v>988</v>
      </c>
      <c r="C512" t="s">
        <v>126</v>
      </c>
      <c r="D512" t="s">
        <v>714</v>
      </c>
      <c r="E512" t="s">
        <v>31</v>
      </c>
      <c r="F512" t="s">
        <v>14</v>
      </c>
      <c r="G512" t="s">
        <v>15</v>
      </c>
      <c r="H512" t="s">
        <v>22</v>
      </c>
      <c r="I512" t="s">
        <v>23</v>
      </c>
      <c r="J512">
        <v>5</v>
      </c>
      <c r="K512">
        <v>159.82</v>
      </c>
      <c r="L512">
        <v>-21.99</v>
      </c>
    </row>
    <row r="513" spans="1:12" x14ac:dyDescent="0.25">
      <c r="A513">
        <v>10512</v>
      </c>
      <c r="B513" t="s">
        <v>988</v>
      </c>
      <c r="C513" t="s">
        <v>92</v>
      </c>
      <c r="D513" t="s">
        <v>715</v>
      </c>
      <c r="E513" t="s">
        <v>31</v>
      </c>
      <c r="F513" t="s">
        <v>46</v>
      </c>
      <c r="G513" t="s">
        <v>71</v>
      </c>
      <c r="H513" t="s">
        <v>16</v>
      </c>
      <c r="I513" t="s">
        <v>51</v>
      </c>
      <c r="J513">
        <v>8</v>
      </c>
      <c r="K513">
        <v>2109.7399999999998</v>
      </c>
      <c r="L513">
        <v>87.36</v>
      </c>
    </row>
    <row r="514" spans="1:12" x14ac:dyDescent="0.25">
      <c r="A514">
        <v>10513</v>
      </c>
      <c r="B514" t="s">
        <v>988</v>
      </c>
      <c r="C514" t="s">
        <v>716</v>
      </c>
      <c r="D514" t="s">
        <v>717</v>
      </c>
      <c r="E514" t="s">
        <v>13</v>
      </c>
      <c r="F514" t="s">
        <v>46</v>
      </c>
      <c r="G514" t="s">
        <v>71</v>
      </c>
      <c r="H514" t="s">
        <v>22</v>
      </c>
      <c r="I514" t="s">
        <v>48</v>
      </c>
      <c r="J514">
        <v>1</v>
      </c>
      <c r="K514">
        <v>3301.06</v>
      </c>
      <c r="L514">
        <v>109.97</v>
      </c>
    </row>
    <row r="515" spans="1:12" x14ac:dyDescent="0.25">
      <c r="A515">
        <v>10514</v>
      </c>
      <c r="B515" t="s">
        <v>988</v>
      </c>
      <c r="C515" t="s">
        <v>229</v>
      </c>
      <c r="D515" t="s">
        <v>718</v>
      </c>
      <c r="E515" t="s">
        <v>13</v>
      </c>
      <c r="F515" t="s">
        <v>32</v>
      </c>
      <c r="G515" t="s">
        <v>54</v>
      </c>
      <c r="H515" t="s">
        <v>22</v>
      </c>
      <c r="I515" t="s">
        <v>23</v>
      </c>
      <c r="J515">
        <v>2</v>
      </c>
      <c r="K515">
        <v>2143.09</v>
      </c>
      <c r="L515">
        <v>135.44999999999999</v>
      </c>
    </row>
    <row r="516" spans="1:12" x14ac:dyDescent="0.25">
      <c r="A516">
        <v>10515</v>
      </c>
      <c r="B516" t="s">
        <v>988</v>
      </c>
      <c r="C516" t="s">
        <v>144</v>
      </c>
      <c r="D516" t="s">
        <v>719</v>
      </c>
      <c r="E516" t="s">
        <v>26</v>
      </c>
      <c r="F516" t="s">
        <v>46</v>
      </c>
      <c r="G516" t="s">
        <v>47</v>
      </c>
      <c r="H516" t="s">
        <v>16</v>
      </c>
      <c r="I516" t="s">
        <v>17</v>
      </c>
      <c r="J516">
        <v>1</v>
      </c>
      <c r="K516">
        <v>556.32000000000005</v>
      </c>
      <c r="L516">
        <v>32.58</v>
      </c>
    </row>
    <row r="517" spans="1:12" x14ac:dyDescent="0.25">
      <c r="A517">
        <v>10516</v>
      </c>
      <c r="B517" t="s">
        <v>988</v>
      </c>
      <c r="C517" t="s">
        <v>593</v>
      </c>
      <c r="D517" t="s">
        <v>720</v>
      </c>
      <c r="E517" t="s">
        <v>26</v>
      </c>
      <c r="F517" t="s">
        <v>20</v>
      </c>
      <c r="G517" t="s">
        <v>21</v>
      </c>
      <c r="H517" t="s">
        <v>27</v>
      </c>
      <c r="I517" t="s">
        <v>77</v>
      </c>
      <c r="J517">
        <v>3</v>
      </c>
      <c r="K517">
        <v>697.91</v>
      </c>
      <c r="L517">
        <v>151.91999999999999</v>
      </c>
    </row>
    <row r="518" spans="1:12" x14ac:dyDescent="0.25">
      <c r="A518">
        <v>10517</v>
      </c>
      <c r="B518" t="s">
        <v>988</v>
      </c>
      <c r="C518" t="s">
        <v>721</v>
      </c>
      <c r="D518" t="s">
        <v>355</v>
      </c>
      <c r="E518" t="s">
        <v>31</v>
      </c>
      <c r="F518" t="s">
        <v>46</v>
      </c>
      <c r="G518" t="s">
        <v>71</v>
      </c>
      <c r="H518" t="s">
        <v>22</v>
      </c>
      <c r="I518" t="s">
        <v>23</v>
      </c>
      <c r="J518">
        <v>8</v>
      </c>
      <c r="K518">
        <v>3647.96</v>
      </c>
      <c r="L518">
        <v>655.13</v>
      </c>
    </row>
    <row r="519" spans="1:12" x14ac:dyDescent="0.25">
      <c r="A519">
        <v>10518</v>
      </c>
      <c r="B519" t="s">
        <v>988</v>
      </c>
      <c r="C519" t="s">
        <v>722</v>
      </c>
      <c r="D519" t="s">
        <v>723</v>
      </c>
      <c r="E519" t="s">
        <v>26</v>
      </c>
      <c r="F519" t="s">
        <v>32</v>
      </c>
      <c r="G519" t="s">
        <v>54</v>
      </c>
      <c r="H519" t="s">
        <v>16</v>
      </c>
      <c r="I519" t="s">
        <v>17</v>
      </c>
      <c r="J519">
        <v>3</v>
      </c>
      <c r="K519">
        <v>3110.02</v>
      </c>
      <c r="L519">
        <v>468.53</v>
      </c>
    </row>
    <row r="520" spans="1:12" x14ac:dyDescent="0.25">
      <c r="A520">
        <v>10519</v>
      </c>
      <c r="B520" t="s">
        <v>988</v>
      </c>
      <c r="C520" t="s">
        <v>409</v>
      </c>
      <c r="D520" t="s">
        <v>724</v>
      </c>
      <c r="E520" t="s">
        <v>13</v>
      </c>
      <c r="F520" t="s">
        <v>46</v>
      </c>
      <c r="G520" t="s">
        <v>47</v>
      </c>
      <c r="H520" t="s">
        <v>22</v>
      </c>
      <c r="I520" t="s">
        <v>23</v>
      </c>
      <c r="J520">
        <v>2</v>
      </c>
      <c r="K520">
        <v>217.54</v>
      </c>
      <c r="L520">
        <v>33.1</v>
      </c>
    </row>
    <row r="521" spans="1:12" x14ac:dyDescent="0.25">
      <c r="A521">
        <v>10520</v>
      </c>
      <c r="B521" t="s">
        <v>988</v>
      </c>
      <c r="C521" t="s">
        <v>709</v>
      </c>
      <c r="D521" t="s">
        <v>725</v>
      </c>
      <c r="E521" t="s">
        <v>31</v>
      </c>
      <c r="F521" t="s">
        <v>20</v>
      </c>
      <c r="G521" t="s">
        <v>76</v>
      </c>
      <c r="H521" t="s">
        <v>22</v>
      </c>
      <c r="I521" t="s">
        <v>38</v>
      </c>
      <c r="J521">
        <v>6</v>
      </c>
      <c r="K521">
        <v>2846.04</v>
      </c>
      <c r="L521">
        <v>594.76</v>
      </c>
    </row>
    <row r="522" spans="1:12" x14ac:dyDescent="0.25">
      <c r="A522">
        <v>10521</v>
      </c>
      <c r="B522" t="s">
        <v>988</v>
      </c>
      <c r="C522" t="s">
        <v>677</v>
      </c>
      <c r="D522" t="s">
        <v>141</v>
      </c>
      <c r="E522" t="s">
        <v>13</v>
      </c>
      <c r="F522" t="s">
        <v>32</v>
      </c>
      <c r="G522" t="s">
        <v>33</v>
      </c>
      <c r="H522" t="s">
        <v>27</v>
      </c>
      <c r="I522" t="s">
        <v>28</v>
      </c>
      <c r="J522">
        <v>6</v>
      </c>
      <c r="K522">
        <v>3858.46</v>
      </c>
      <c r="L522">
        <v>269.39999999999998</v>
      </c>
    </row>
    <row r="523" spans="1:12" x14ac:dyDescent="0.25">
      <c r="A523">
        <v>10522</v>
      </c>
      <c r="B523" t="s">
        <v>988</v>
      </c>
      <c r="C523" t="s">
        <v>362</v>
      </c>
      <c r="D523" t="s">
        <v>361</v>
      </c>
      <c r="E523" t="s">
        <v>26</v>
      </c>
      <c r="F523" t="s">
        <v>14</v>
      </c>
      <c r="G523" t="s">
        <v>15</v>
      </c>
      <c r="H523" t="s">
        <v>22</v>
      </c>
      <c r="I523" t="s">
        <v>38</v>
      </c>
      <c r="J523">
        <v>6</v>
      </c>
      <c r="K523">
        <v>4619.17</v>
      </c>
      <c r="L523">
        <v>736.78</v>
      </c>
    </row>
    <row r="524" spans="1:12" x14ac:dyDescent="0.25">
      <c r="A524">
        <v>10523</v>
      </c>
      <c r="B524" t="s">
        <v>988</v>
      </c>
      <c r="C524" t="s">
        <v>482</v>
      </c>
      <c r="D524" t="s">
        <v>726</v>
      </c>
      <c r="E524" t="s">
        <v>13</v>
      </c>
      <c r="F524" t="s">
        <v>20</v>
      </c>
      <c r="G524" t="s">
        <v>21</v>
      </c>
      <c r="H524" t="s">
        <v>16</v>
      </c>
      <c r="I524" t="s">
        <v>51</v>
      </c>
      <c r="J524">
        <v>6</v>
      </c>
      <c r="K524">
        <v>2366.1</v>
      </c>
      <c r="L524">
        <v>507.13</v>
      </c>
    </row>
    <row r="525" spans="1:12" x14ac:dyDescent="0.25">
      <c r="A525">
        <v>10524</v>
      </c>
      <c r="B525" t="s">
        <v>988</v>
      </c>
      <c r="C525" t="s">
        <v>39</v>
      </c>
      <c r="D525" t="s">
        <v>481</v>
      </c>
      <c r="E525" t="s">
        <v>26</v>
      </c>
      <c r="F525" t="s">
        <v>32</v>
      </c>
      <c r="G525" t="s">
        <v>54</v>
      </c>
      <c r="H525" t="s">
        <v>16</v>
      </c>
      <c r="I525" t="s">
        <v>81</v>
      </c>
      <c r="J525">
        <v>4</v>
      </c>
      <c r="K525">
        <v>2929.25</v>
      </c>
      <c r="L525">
        <v>297.77</v>
      </c>
    </row>
    <row r="526" spans="1:12" x14ac:dyDescent="0.25">
      <c r="A526">
        <v>10525</v>
      </c>
      <c r="B526" t="s">
        <v>988</v>
      </c>
      <c r="C526" t="s">
        <v>346</v>
      </c>
      <c r="D526" t="s">
        <v>204</v>
      </c>
      <c r="E526" t="s">
        <v>31</v>
      </c>
      <c r="F526" t="s">
        <v>32</v>
      </c>
      <c r="G526" t="s">
        <v>33</v>
      </c>
      <c r="H526" t="s">
        <v>27</v>
      </c>
      <c r="I526" t="s">
        <v>77</v>
      </c>
      <c r="J526">
        <v>3</v>
      </c>
      <c r="K526">
        <v>2897.81</v>
      </c>
      <c r="L526">
        <v>367.59</v>
      </c>
    </row>
    <row r="527" spans="1:12" x14ac:dyDescent="0.25">
      <c r="A527">
        <v>10526</v>
      </c>
      <c r="B527" t="s">
        <v>988</v>
      </c>
      <c r="C527" t="s">
        <v>216</v>
      </c>
      <c r="D527" t="s">
        <v>727</v>
      </c>
      <c r="E527" t="s">
        <v>13</v>
      </c>
      <c r="F527" t="s">
        <v>14</v>
      </c>
      <c r="G527" t="s">
        <v>37</v>
      </c>
      <c r="H527" t="s">
        <v>27</v>
      </c>
      <c r="I527" t="s">
        <v>118</v>
      </c>
      <c r="J527">
        <v>8</v>
      </c>
      <c r="K527">
        <v>4397.54</v>
      </c>
      <c r="L527">
        <v>545.44000000000005</v>
      </c>
    </row>
    <row r="528" spans="1:12" x14ac:dyDescent="0.25">
      <c r="A528">
        <v>10527</v>
      </c>
      <c r="B528" t="s">
        <v>988</v>
      </c>
      <c r="C528" t="s">
        <v>728</v>
      </c>
      <c r="D528" t="s">
        <v>724</v>
      </c>
      <c r="E528" t="s">
        <v>31</v>
      </c>
      <c r="F528" t="s">
        <v>32</v>
      </c>
      <c r="G528" t="s">
        <v>33</v>
      </c>
      <c r="H528" t="s">
        <v>22</v>
      </c>
      <c r="I528" t="s">
        <v>38</v>
      </c>
      <c r="J528">
        <v>1</v>
      </c>
      <c r="K528">
        <v>3911.17</v>
      </c>
      <c r="L528">
        <v>1044.25</v>
      </c>
    </row>
    <row r="529" spans="1:12" x14ac:dyDescent="0.25">
      <c r="A529">
        <v>10528</v>
      </c>
      <c r="B529" t="s">
        <v>988</v>
      </c>
      <c r="C529" t="s">
        <v>288</v>
      </c>
      <c r="D529" t="s">
        <v>729</v>
      </c>
      <c r="E529" t="s">
        <v>26</v>
      </c>
      <c r="F529" t="s">
        <v>46</v>
      </c>
      <c r="G529" t="s">
        <v>71</v>
      </c>
      <c r="H529" t="s">
        <v>27</v>
      </c>
      <c r="I529" t="s">
        <v>77</v>
      </c>
      <c r="J529">
        <v>5</v>
      </c>
      <c r="K529">
        <v>3900.11</v>
      </c>
      <c r="L529">
        <v>247.54</v>
      </c>
    </row>
    <row r="530" spans="1:12" x14ac:dyDescent="0.25">
      <c r="A530">
        <v>10529</v>
      </c>
      <c r="B530" t="s">
        <v>988</v>
      </c>
      <c r="C530" t="s">
        <v>522</v>
      </c>
      <c r="D530" t="s">
        <v>730</v>
      </c>
      <c r="E530" t="s">
        <v>26</v>
      </c>
      <c r="F530" t="s">
        <v>46</v>
      </c>
      <c r="G530" t="s">
        <v>71</v>
      </c>
      <c r="H530" t="s">
        <v>27</v>
      </c>
      <c r="I530" t="s">
        <v>77</v>
      </c>
      <c r="J530">
        <v>2</v>
      </c>
      <c r="K530">
        <v>120.14</v>
      </c>
      <c r="L530">
        <v>-34.700000000000003</v>
      </c>
    </row>
    <row r="531" spans="1:12" x14ac:dyDescent="0.25">
      <c r="A531">
        <v>10530</v>
      </c>
      <c r="B531" t="s">
        <v>988</v>
      </c>
      <c r="C531" t="s">
        <v>565</v>
      </c>
      <c r="D531" t="s">
        <v>309</v>
      </c>
      <c r="E531" t="s">
        <v>26</v>
      </c>
      <c r="F531" t="s">
        <v>32</v>
      </c>
      <c r="G531" t="s">
        <v>54</v>
      </c>
      <c r="H531" t="s">
        <v>22</v>
      </c>
      <c r="I531" t="s">
        <v>23</v>
      </c>
      <c r="J531">
        <v>5</v>
      </c>
      <c r="K531">
        <v>210.15</v>
      </c>
      <c r="L531">
        <v>-13.53</v>
      </c>
    </row>
    <row r="532" spans="1:12" x14ac:dyDescent="0.25">
      <c r="A532">
        <v>10531</v>
      </c>
      <c r="B532" t="s">
        <v>988</v>
      </c>
      <c r="C532" t="s">
        <v>731</v>
      </c>
      <c r="D532" t="s">
        <v>238</v>
      </c>
      <c r="E532" t="s">
        <v>13</v>
      </c>
      <c r="F532" t="s">
        <v>46</v>
      </c>
      <c r="G532" t="s">
        <v>47</v>
      </c>
      <c r="H532" t="s">
        <v>27</v>
      </c>
      <c r="I532" t="s">
        <v>28</v>
      </c>
      <c r="J532">
        <v>8</v>
      </c>
      <c r="K532">
        <v>3388.51</v>
      </c>
      <c r="L532">
        <v>384.65</v>
      </c>
    </row>
    <row r="533" spans="1:12" x14ac:dyDescent="0.25">
      <c r="A533">
        <v>10532</v>
      </c>
      <c r="B533" t="s">
        <v>988</v>
      </c>
      <c r="C533" t="s">
        <v>251</v>
      </c>
      <c r="D533" t="s">
        <v>732</v>
      </c>
      <c r="E533" t="s">
        <v>26</v>
      </c>
      <c r="F533" t="s">
        <v>14</v>
      </c>
      <c r="G533" t="s">
        <v>15</v>
      </c>
      <c r="H533" t="s">
        <v>16</v>
      </c>
      <c r="I533" t="s">
        <v>17</v>
      </c>
      <c r="J533">
        <v>6</v>
      </c>
      <c r="K533">
        <v>1428.16</v>
      </c>
      <c r="L533">
        <v>327.8</v>
      </c>
    </row>
    <row r="534" spans="1:12" x14ac:dyDescent="0.25">
      <c r="A534">
        <v>10533</v>
      </c>
      <c r="B534" t="s">
        <v>988</v>
      </c>
      <c r="C534" t="s">
        <v>733</v>
      </c>
      <c r="D534" t="s">
        <v>734</v>
      </c>
      <c r="E534" t="s">
        <v>31</v>
      </c>
      <c r="F534" t="s">
        <v>14</v>
      </c>
      <c r="G534" t="s">
        <v>37</v>
      </c>
      <c r="H534" t="s">
        <v>16</v>
      </c>
      <c r="I534" t="s">
        <v>17</v>
      </c>
      <c r="J534">
        <v>8</v>
      </c>
      <c r="K534">
        <v>348.56</v>
      </c>
      <c r="L534">
        <v>-70.37</v>
      </c>
    </row>
    <row r="535" spans="1:12" x14ac:dyDescent="0.25">
      <c r="A535">
        <v>10534</v>
      </c>
      <c r="B535" t="s">
        <v>988</v>
      </c>
      <c r="C535" t="s">
        <v>232</v>
      </c>
      <c r="D535" t="s">
        <v>735</v>
      </c>
      <c r="E535" t="s">
        <v>31</v>
      </c>
      <c r="F535" t="s">
        <v>14</v>
      </c>
      <c r="G535" t="s">
        <v>15</v>
      </c>
      <c r="H535" t="s">
        <v>27</v>
      </c>
      <c r="I535" t="s">
        <v>77</v>
      </c>
      <c r="J535">
        <v>3</v>
      </c>
      <c r="K535">
        <v>3552.92</v>
      </c>
      <c r="L535">
        <v>906.36</v>
      </c>
    </row>
    <row r="536" spans="1:12" x14ac:dyDescent="0.25">
      <c r="A536">
        <v>10535</v>
      </c>
      <c r="B536" t="s">
        <v>988</v>
      </c>
      <c r="C536" t="s">
        <v>221</v>
      </c>
      <c r="D536" t="s">
        <v>736</v>
      </c>
      <c r="E536" t="s">
        <v>13</v>
      </c>
      <c r="F536" t="s">
        <v>32</v>
      </c>
      <c r="G536" t="s">
        <v>54</v>
      </c>
      <c r="H536" t="s">
        <v>27</v>
      </c>
      <c r="I536" t="s">
        <v>104</v>
      </c>
      <c r="J536">
        <v>2</v>
      </c>
      <c r="K536">
        <v>4871.04</v>
      </c>
      <c r="L536">
        <v>1117.3</v>
      </c>
    </row>
    <row r="537" spans="1:12" x14ac:dyDescent="0.25">
      <c r="A537">
        <v>10536</v>
      </c>
      <c r="B537" t="s">
        <v>988</v>
      </c>
      <c r="C537" t="s">
        <v>336</v>
      </c>
      <c r="D537" t="s">
        <v>737</v>
      </c>
      <c r="E537" t="s">
        <v>31</v>
      </c>
      <c r="F537" t="s">
        <v>20</v>
      </c>
      <c r="G537" t="s">
        <v>21</v>
      </c>
      <c r="H537" t="s">
        <v>27</v>
      </c>
      <c r="I537" t="s">
        <v>28</v>
      </c>
      <c r="J537">
        <v>8</v>
      </c>
      <c r="K537">
        <v>2405.67</v>
      </c>
      <c r="L537">
        <v>675.72</v>
      </c>
    </row>
    <row r="538" spans="1:12" x14ac:dyDescent="0.25">
      <c r="A538">
        <v>10537</v>
      </c>
      <c r="B538" t="s">
        <v>988</v>
      </c>
      <c r="C538" t="s">
        <v>268</v>
      </c>
      <c r="D538" t="s">
        <v>430</v>
      </c>
      <c r="E538" t="s">
        <v>31</v>
      </c>
      <c r="F538" t="s">
        <v>20</v>
      </c>
      <c r="G538" t="s">
        <v>21</v>
      </c>
      <c r="H538" t="s">
        <v>16</v>
      </c>
      <c r="I538" t="s">
        <v>17</v>
      </c>
      <c r="J538">
        <v>6</v>
      </c>
      <c r="K538">
        <v>2321.09</v>
      </c>
      <c r="L538">
        <v>86.08</v>
      </c>
    </row>
    <row r="539" spans="1:12" x14ac:dyDescent="0.25">
      <c r="A539">
        <v>10538</v>
      </c>
      <c r="B539" t="s">
        <v>988</v>
      </c>
      <c r="C539" t="s">
        <v>738</v>
      </c>
      <c r="D539" t="s">
        <v>739</v>
      </c>
      <c r="E539" t="s">
        <v>26</v>
      </c>
      <c r="F539" t="s">
        <v>46</v>
      </c>
      <c r="G539" t="s">
        <v>47</v>
      </c>
      <c r="H539" t="s">
        <v>27</v>
      </c>
      <c r="I539" t="s">
        <v>104</v>
      </c>
      <c r="J539">
        <v>2</v>
      </c>
      <c r="K539">
        <v>2087.86</v>
      </c>
      <c r="L539">
        <v>466.52</v>
      </c>
    </row>
    <row r="540" spans="1:12" x14ac:dyDescent="0.25">
      <c r="A540">
        <v>10539</v>
      </c>
      <c r="B540" t="s">
        <v>988</v>
      </c>
      <c r="C540" t="s">
        <v>567</v>
      </c>
      <c r="D540" t="s">
        <v>481</v>
      </c>
      <c r="E540" t="s">
        <v>31</v>
      </c>
      <c r="F540" t="s">
        <v>32</v>
      </c>
      <c r="G540" t="s">
        <v>54</v>
      </c>
      <c r="H540" t="s">
        <v>27</v>
      </c>
      <c r="I540" t="s">
        <v>77</v>
      </c>
      <c r="J540">
        <v>4</v>
      </c>
      <c r="K540">
        <v>3142.29</v>
      </c>
      <c r="L540">
        <v>490.18</v>
      </c>
    </row>
    <row r="541" spans="1:12" x14ac:dyDescent="0.25">
      <c r="A541">
        <v>10540</v>
      </c>
      <c r="B541" t="s">
        <v>988</v>
      </c>
      <c r="C541" t="s">
        <v>415</v>
      </c>
      <c r="D541" t="s">
        <v>740</v>
      </c>
      <c r="E541" t="s">
        <v>31</v>
      </c>
      <c r="F541" t="s">
        <v>46</v>
      </c>
      <c r="G541" t="s">
        <v>47</v>
      </c>
      <c r="H541" t="s">
        <v>27</v>
      </c>
      <c r="I541" t="s">
        <v>28</v>
      </c>
      <c r="J541">
        <v>4</v>
      </c>
      <c r="K541">
        <v>948.12</v>
      </c>
      <c r="L541">
        <v>132.19</v>
      </c>
    </row>
    <row r="542" spans="1:12" x14ac:dyDescent="0.25">
      <c r="A542">
        <v>10541</v>
      </c>
      <c r="B542" t="s">
        <v>988</v>
      </c>
      <c r="C542" t="s">
        <v>517</v>
      </c>
      <c r="D542" t="s">
        <v>741</v>
      </c>
      <c r="E542" t="s">
        <v>13</v>
      </c>
      <c r="F542" t="s">
        <v>14</v>
      </c>
      <c r="G542" t="s">
        <v>37</v>
      </c>
      <c r="H542" t="s">
        <v>27</v>
      </c>
      <c r="I542" t="s">
        <v>118</v>
      </c>
      <c r="J542">
        <v>8</v>
      </c>
      <c r="K542">
        <v>963.25</v>
      </c>
      <c r="L542">
        <v>271.39</v>
      </c>
    </row>
    <row r="543" spans="1:12" x14ac:dyDescent="0.25">
      <c r="A543">
        <v>10542</v>
      </c>
      <c r="B543" t="s">
        <v>988</v>
      </c>
      <c r="C543" t="s">
        <v>185</v>
      </c>
      <c r="D543" t="s">
        <v>742</v>
      </c>
      <c r="E543" t="s">
        <v>26</v>
      </c>
      <c r="F543" t="s">
        <v>20</v>
      </c>
      <c r="G543" t="s">
        <v>76</v>
      </c>
      <c r="H543" t="s">
        <v>27</v>
      </c>
      <c r="I543" t="s">
        <v>118</v>
      </c>
      <c r="J543">
        <v>2</v>
      </c>
      <c r="K543">
        <v>1166.3</v>
      </c>
      <c r="L543">
        <v>40.74</v>
      </c>
    </row>
    <row r="544" spans="1:12" x14ac:dyDescent="0.25">
      <c r="A544">
        <v>10543</v>
      </c>
      <c r="B544" t="s">
        <v>988</v>
      </c>
      <c r="C544" t="s">
        <v>743</v>
      </c>
      <c r="D544" t="s">
        <v>744</v>
      </c>
      <c r="E544" t="s">
        <v>13</v>
      </c>
      <c r="F544" t="s">
        <v>46</v>
      </c>
      <c r="G544" t="s">
        <v>71</v>
      </c>
      <c r="H544" t="s">
        <v>27</v>
      </c>
      <c r="I544" t="s">
        <v>28</v>
      </c>
      <c r="J544">
        <v>7</v>
      </c>
      <c r="K544">
        <v>3116.3</v>
      </c>
      <c r="L544">
        <v>483.62</v>
      </c>
    </row>
    <row r="545" spans="1:12" x14ac:dyDescent="0.25">
      <c r="A545">
        <v>10544</v>
      </c>
      <c r="B545" t="s">
        <v>988</v>
      </c>
      <c r="C545" t="s">
        <v>745</v>
      </c>
      <c r="D545" t="s">
        <v>746</v>
      </c>
      <c r="E545" t="s">
        <v>31</v>
      </c>
      <c r="F545" t="s">
        <v>32</v>
      </c>
      <c r="G545" t="s">
        <v>54</v>
      </c>
      <c r="H545" t="s">
        <v>16</v>
      </c>
      <c r="I545" t="s">
        <v>17</v>
      </c>
      <c r="J545">
        <v>2</v>
      </c>
      <c r="K545">
        <v>2955.36</v>
      </c>
      <c r="L545">
        <v>548.52</v>
      </c>
    </row>
    <row r="546" spans="1:12" x14ac:dyDescent="0.25">
      <c r="A546">
        <v>10545</v>
      </c>
      <c r="B546" t="s">
        <v>988</v>
      </c>
      <c r="C546" t="s">
        <v>276</v>
      </c>
      <c r="D546" t="s">
        <v>747</v>
      </c>
      <c r="E546" t="s">
        <v>26</v>
      </c>
      <c r="F546" t="s">
        <v>14</v>
      </c>
      <c r="G546" t="s">
        <v>37</v>
      </c>
      <c r="H546" t="s">
        <v>16</v>
      </c>
      <c r="I546" t="s">
        <v>81</v>
      </c>
      <c r="J546">
        <v>1</v>
      </c>
      <c r="K546">
        <v>3546.44</v>
      </c>
      <c r="L546">
        <v>869.09</v>
      </c>
    </row>
    <row r="547" spans="1:12" x14ac:dyDescent="0.25">
      <c r="A547">
        <v>10546</v>
      </c>
      <c r="B547" t="s">
        <v>988</v>
      </c>
      <c r="C547" t="s">
        <v>260</v>
      </c>
      <c r="D547" t="s">
        <v>748</v>
      </c>
      <c r="E547" t="s">
        <v>26</v>
      </c>
      <c r="F547" t="s">
        <v>46</v>
      </c>
      <c r="G547" t="s">
        <v>47</v>
      </c>
      <c r="H547" t="s">
        <v>16</v>
      </c>
      <c r="I547" t="s">
        <v>51</v>
      </c>
      <c r="J547">
        <v>6</v>
      </c>
      <c r="K547">
        <v>3587.69</v>
      </c>
      <c r="L547">
        <v>500.05</v>
      </c>
    </row>
    <row r="548" spans="1:12" x14ac:dyDescent="0.25">
      <c r="A548">
        <v>10547</v>
      </c>
      <c r="B548" t="s">
        <v>988</v>
      </c>
      <c r="C548" t="s">
        <v>312</v>
      </c>
      <c r="D548" t="s">
        <v>749</v>
      </c>
      <c r="E548" t="s">
        <v>26</v>
      </c>
      <c r="F548" t="s">
        <v>20</v>
      </c>
      <c r="G548" t="s">
        <v>21</v>
      </c>
      <c r="H548" t="s">
        <v>22</v>
      </c>
      <c r="I548" t="s">
        <v>34</v>
      </c>
      <c r="J548">
        <v>6</v>
      </c>
      <c r="K548">
        <v>4215.82</v>
      </c>
      <c r="L548">
        <v>273.64</v>
      </c>
    </row>
    <row r="549" spans="1:12" x14ac:dyDescent="0.25">
      <c r="A549">
        <v>10548</v>
      </c>
      <c r="B549" t="s">
        <v>988</v>
      </c>
      <c r="C549" t="s">
        <v>303</v>
      </c>
      <c r="D549" t="s">
        <v>123</v>
      </c>
      <c r="E549" t="s">
        <v>26</v>
      </c>
      <c r="F549" t="s">
        <v>14</v>
      </c>
      <c r="G549" t="s">
        <v>15</v>
      </c>
      <c r="H549" t="s">
        <v>16</v>
      </c>
      <c r="I549" t="s">
        <v>81</v>
      </c>
      <c r="J549">
        <v>3</v>
      </c>
      <c r="K549">
        <v>3634.56</v>
      </c>
      <c r="L549">
        <v>580.29</v>
      </c>
    </row>
    <row r="550" spans="1:12" x14ac:dyDescent="0.25">
      <c r="A550">
        <v>10549</v>
      </c>
      <c r="B550" t="s">
        <v>988</v>
      </c>
      <c r="C550" t="s">
        <v>567</v>
      </c>
      <c r="D550" t="s">
        <v>750</v>
      </c>
      <c r="E550" t="s">
        <v>26</v>
      </c>
      <c r="F550" t="s">
        <v>20</v>
      </c>
      <c r="G550" t="s">
        <v>76</v>
      </c>
      <c r="H550" t="s">
        <v>16</v>
      </c>
      <c r="I550" t="s">
        <v>51</v>
      </c>
      <c r="J550">
        <v>3</v>
      </c>
      <c r="K550">
        <v>2326.5300000000002</v>
      </c>
      <c r="L550">
        <v>281</v>
      </c>
    </row>
    <row r="551" spans="1:12" x14ac:dyDescent="0.25">
      <c r="A551">
        <v>10550</v>
      </c>
      <c r="B551" t="s">
        <v>988</v>
      </c>
      <c r="C551" t="s">
        <v>187</v>
      </c>
      <c r="D551" t="s">
        <v>708</v>
      </c>
      <c r="E551" t="s">
        <v>13</v>
      </c>
      <c r="F551" t="s">
        <v>46</v>
      </c>
      <c r="G551" t="s">
        <v>47</v>
      </c>
      <c r="H551" t="s">
        <v>16</v>
      </c>
      <c r="I551" t="s">
        <v>81</v>
      </c>
      <c r="J551">
        <v>8</v>
      </c>
      <c r="K551">
        <v>4249.34</v>
      </c>
      <c r="L551">
        <v>413.8</v>
      </c>
    </row>
    <row r="552" spans="1:12" x14ac:dyDescent="0.25">
      <c r="A552">
        <v>10551</v>
      </c>
      <c r="B552" t="s">
        <v>988</v>
      </c>
      <c r="C552" t="s">
        <v>435</v>
      </c>
      <c r="D552" t="s">
        <v>30</v>
      </c>
      <c r="E552" t="s">
        <v>13</v>
      </c>
      <c r="F552" t="s">
        <v>32</v>
      </c>
      <c r="G552" t="s">
        <v>33</v>
      </c>
      <c r="H552" t="s">
        <v>22</v>
      </c>
      <c r="I552" t="s">
        <v>34</v>
      </c>
      <c r="J552">
        <v>6</v>
      </c>
      <c r="K552">
        <v>654.51</v>
      </c>
      <c r="L552">
        <v>42.47</v>
      </c>
    </row>
    <row r="553" spans="1:12" x14ac:dyDescent="0.25">
      <c r="A553">
        <v>10552</v>
      </c>
      <c r="B553" t="s">
        <v>988</v>
      </c>
      <c r="C553" t="s">
        <v>622</v>
      </c>
      <c r="D553" t="s">
        <v>751</v>
      </c>
      <c r="E553" t="s">
        <v>13</v>
      </c>
      <c r="F553" t="s">
        <v>32</v>
      </c>
      <c r="G553" t="s">
        <v>54</v>
      </c>
      <c r="H553" t="s">
        <v>16</v>
      </c>
      <c r="I553" t="s">
        <v>81</v>
      </c>
      <c r="J553">
        <v>2</v>
      </c>
      <c r="K553">
        <v>1301.6300000000001</v>
      </c>
      <c r="L553">
        <v>203.93</v>
      </c>
    </row>
    <row r="554" spans="1:12" x14ac:dyDescent="0.25">
      <c r="A554">
        <v>10553</v>
      </c>
      <c r="B554" t="s">
        <v>988</v>
      </c>
      <c r="C554" t="s">
        <v>305</v>
      </c>
      <c r="D554" t="s">
        <v>752</v>
      </c>
      <c r="E554" t="s">
        <v>31</v>
      </c>
      <c r="F554" t="s">
        <v>32</v>
      </c>
      <c r="G554" t="s">
        <v>33</v>
      </c>
      <c r="H554" t="s">
        <v>27</v>
      </c>
      <c r="I554" t="s">
        <v>118</v>
      </c>
      <c r="J554">
        <v>8</v>
      </c>
      <c r="K554">
        <v>2324.77</v>
      </c>
      <c r="L554">
        <v>585.42999999999995</v>
      </c>
    </row>
    <row r="555" spans="1:12" x14ac:dyDescent="0.25">
      <c r="A555">
        <v>10554</v>
      </c>
      <c r="B555" t="s">
        <v>988</v>
      </c>
      <c r="C555" t="s">
        <v>203</v>
      </c>
      <c r="D555" t="s">
        <v>753</v>
      </c>
      <c r="E555" t="s">
        <v>26</v>
      </c>
      <c r="F555" t="s">
        <v>32</v>
      </c>
      <c r="G555" t="s">
        <v>54</v>
      </c>
      <c r="H555" t="s">
        <v>22</v>
      </c>
      <c r="I555" t="s">
        <v>23</v>
      </c>
      <c r="J555">
        <v>5</v>
      </c>
      <c r="K555">
        <v>3662.16</v>
      </c>
      <c r="L555">
        <v>693.06</v>
      </c>
    </row>
    <row r="556" spans="1:12" x14ac:dyDescent="0.25">
      <c r="A556">
        <v>10555</v>
      </c>
      <c r="B556" t="s">
        <v>988</v>
      </c>
      <c r="C556" t="s">
        <v>24</v>
      </c>
      <c r="D556" t="s">
        <v>754</v>
      </c>
      <c r="E556" t="s">
        <v>26</v>
      </c>
      <c r="F556" t="s">
        <v>14</v>
      </c>
      <c r="G556" t="s">
        <v>37</v>
      </c>
      <c r="H556" t="s">
        <v>16</v>
      </c>
      <c r="I556" t="s">
        <v>81</v>
      </c>
      <c r="J556">
        <v>5</v>
      </c>
      <c r="K556">
        <v>2475.3200000000002</v>
      </c>
      <c r="L556">
        <v>194.56</v>
      </c>
    </row>
    <row r="557" spans="1:12" x14ac:dyDescent="0.25">
      <c r="A557">
        <v>10556</v>
      </c>
      <c r="B557" t="s">
        <v>988</v>
      </c>
      <c r="C557" t="s">
        <v>63</v>
      </c>
      <c r="D557" t="s">
        <v>638</v>
      </c>
      <c r="E557" t="s">
        <v>31</v>
      </c>
      <c r="F557" t="s">
        <v>32</v>
      </c>
      <c r="G557" t="s">
        <v>54</v>
      </c>
      <c r="H557" t="s">
        <v>27</v>
      </c>
      <c r="I557" t="s">
        <v>118</v>
      </c>
      <c r="J557">
        <v>2</v>
      </c>
      <c r="K557">
        <v>3058.73</v>
      </c>
      <c r="L557">
        <v>775</v>
      </c>
    </row>
    <row r="558" spans="1:12" x14ac:dyDescent="0.25">
      <c r="A558">
        <v>10557</v>
      </c>
      <c r="B558" t="s">
        <v>988</v>
      </c>
      <c r="C558" t="s">
        <v>431</v>
      </c>
      <c r="D558" t="s">
        <v>755</v>
      </c>
      <c r="E558" t="s">
        <v>13</v>
      </c>
      <c r="F558" t="s">
        <v>46</v>
      </c>
      <c r="G558" t="s">
        <v>47</v>
      </c>
      <c r="H558" t="s">
        <v>16</v>
      </c>
      <c r="I558" t="s">
        <v>43</v>
      </c>
      <c r="J558">
        <v>8</v>
      </c>
      <c r="K558">
        <v>985.97</v>
      </c>
      <c r="L558">
        <v>175.99</v>
      </c>
    </row>
    <row r="559" spans="1:12" x14ac:dyDescent="0.25">
      <c r="A559">
        <v>10558</v>
      </c>
      <c r="B559" t="s">
        <v>988</v>
      </c>
      <c r="C559" t="s">
        <v>250</v>
      </c>
      <c r="D559" t="s">
        <v>756</v>
      </c>
      <c r="E559" t="s">
        <v>31</v>
      </c>
      <c r="F559" t="s">
        <v>46</v>
      </c>
      <c r="G559" t="s">
        <v>47</v>
      </c>
      <c r="H559" t="s">
        <v>27</v>
      </c>
      <c r="I559" t="s">
        <v>77</v>
      </c>
      <c r="J559">
        <v>4</v>
      </c>
      <c r="K559">
        <v>3337.27</v>
      </c>
      <c r="L559">
        <v>755.85</v>
      </c>
    </row>
    <row r="560" spans="1:12" x14ac:dyDescent="0.25">
      <c r="A560">
        <v>10559</v>
      </c>
      <c r="B560" t="s">
        <v>988</v>
      </c>
      <c r="C560" t="s">
        <v>262</v>
      </c>
      <c r="D560" t="s">
        <v>178</v>
      </c>
      <c r="E560" t="s">
        <v>31</v>
      </c>
      <c r="F560" t="s">
        <v>14</v>
      </c>
      <c r="G560" t="s">
        <v>37</v>
      </c>
      <c r="H560" t="s">
        <v>22</v>
      </c>
      <c r="I560" t="s">
        <v>23</v>
      </c>
      <c r="J560">
        <v>3</v>
      </c>
      <c r="K560">
        <v>2373.67</v>
      </c>
      <c r="L560">
        <v>353.66</v>
      </c>
    </row>
    <row r="561" spans="1:12" x14ac:dyDescent="0.25">
      <c r="A561">
        <v>10560</v>
      </c>
      <c r="B561" t="s">
        <v>988</v>
      </c>
      <c r="C561" t="s">
        <v>455</v>
      </c>
      <c r="D561" t="s">
        <v>89</v>
      </c>
      <c r="E561" t="s">
        <v>13</v>
      </c>
      <c r="F561" t="s">
        <v>20</v>
      </c>
      <c r="G561" t="s">
        <v>76</v>
      </c>
      <c r="H561" t="s">
        <v>27</v>
      </c>
      <c r="I561" t="s">
        <v>104</v>
      </c>
      <c r="J561">
        <v>7</v>
      </c>
      <c r="K561">
        <v>158.13</v>
      </c>
      <c r="L561">
        <v>-0.32</v>
      </c>
    </row>
    <row r="562" spans="1:12" x14ac:dyDescent="0.25">
      <c r="A562">
        <v>10561</v>
      </c>
      <c r="B562" t="s">
        <v>988</v>
      </c>
      <c r="C562" t="s">
        <v>154</v>
      </c>
      <c r="D562" t="s">
        <v>200</v>
      </c>
      <c r="E562" t="s">
        <v>26</v>
      </c>
      <c r="F562" t="s">
        <v>14</v>
      </c>
      <c r="G562" t="s">
        <v>15</v>
      </c>
      <c r="H562" t="s">
        <v>16</v>
      </c>
      <c r="I562" t="s">
        <v>17</v>
      </c>
      <c r="J562">
        <v>7</v>
      </c>
      <c r="K562">
        <v>3091.38</v>
      </c>
      <c r="L562">
        <v>631.26</v>
      </c>
    </row>
    <row r="563" spans="1:12" x14ac:dyDescent="0.25">
      <c r="A563">
        <v>10562</v>
      </c>
      <c r="B563" t="s">
        <v>988</v>
      </c>
      <c r="C563" t="s">
        <v>112</v>
      </c>
      <c r="D563" t="s">
        <v>715</v>
      </c>
      <c r="E563" t="s">
        <v>26</v>
      </c>
      <c r="F563" t="s">
        <v>32</v>
      </c>
      <c r="G563" t="s">
        <v>54</v>
      </c>
      <c r="H563" t="s">
        <v>27</v>
      </c>
      <c r="I563" t="s">
        <v>104</v>
      </c>
      <c r="J563">
        <v>4</v>
      </c>
      <c r="K563">
        <v>2647.77</v>
      </c>
      <c r="L563">
        <v>481.68</v>
      </c>
    </row>
    <row r="564" spans="1:12" x14ac:dyDescent="0.25">
      <c r="A564">
        <v>10563</v>
      </c>
      <c r="B564" t="s">
        <v>988</v>
      </c>
      <c r="C564" t="s">
        <v>757</v>
      </c>
      <c r="D564" t="s">
        <v>758</v>
      </c>
      <c r="E564" t="s">
        <v>26</v>
      </c>
      <c r="F564" t="s">
        <v>14</v>
      </c>
      <c r="G564" t="s">
        <v>15</v>
      </c>
      <c r="H564" t="s">
        <v>22</v>
      </c>
      <c r="I564" t="s">
        <v>34</v>
      </c>
      <c r="J564">
        <v>2</v>
      </c>
      <c r="K564">
        <v>2673.79</v>
      </c>
      <c r="L564">
        <v>556.76</v>
      </c>
    </row>
    <row r="565" spans="1:12" x14ac:dyDescent="0.25">
      <c r="A565">
        <v>10564</v>
      </c>
      <c r="B565" t="s">
        <v>988</v>
      </c>
      <c r="C565" t="s">
        <v>429</v>
      </c>
      <c r="D565" t="s">
        <v>759</v>
      </c>
      <c r="E565" t="s">
        <v>26</v>
      </c>
      <c r="F565" t="s">
        <v>14</v>
      </c>
      <c r="G565" t="s">
        <v>15</v>
      </c>
      <c r="H565" t="s">
        <v>16</v>
      </c>
      <c r="I565" t="s">
        <v>81</v>
      </c>
      <c r="J565">
        <v>1</v>
      </c>
      <c r="K565">
        <v>4698.68</v>
      </c>
      <c r="L565">
        <v>922.68</v>
      </c>
    </row>
    <row r="566" spans="1:12" x14ac:dyDescent="0.25">
      <c r="A566">
        <v>10565</v>
      </c>
      <c r="B566" t="s">
        <v>988</v>
      </c>
      <c r="C566" t="s">
        <v>652</v>
      </c>
      <c r="D566" t="s">
        <v>259</v>
      </c>
      <c r="E566" t="s">
        <v>13</v>
      </c>
      <c r="F566" t="s">
        <v>14</v>
      </c>
      <c r="G566" t="s">
        <v>15</v>
      </c>
      <c r="H566" t="s">
        <v>16</v>
      </c>
      <c r="I566" t="s">
        <v>43</v>
      </c>
      <c r="J566">
        <v>7</v>
      </c>
      <c r="K566">
        <v>3316.33</v>
      </c>
      <c r="L566">
        <v>855.3</v>
      </c>
    </row>
    <row r="567" spans="1:12" x14ac:dyDescent="0.25">
      <c r="A567">
        <v>10566</v>
      </c>
      <c r="B567" t="s">
        <v>988</v>
      </c>
      <c r="C567" t="s">
        <v>760</v>
      </c>
      <c r="D567" t="s">
        <v>761</v>
      </c>
      <c r="E567" t="s">
        <v>13</v>
      </c>
      <c r="F567" t="s">
        <v>46</v>
      </c>
      <c r="G567" t="s">
        <v>47</v>
      </c>
      <c r="H567" t="s">
        <v>27</v>
      </c>
      <c r="I567" t="s">
        <v>77</v>
      </c>
      <c r="J567">
        <v>2</v>
      </c>
      <c r="K567">
        <v>3230.02</v>
      </c>
      <c r="L567">
        <v>878.94</v>
      </c>
    </row>
    <row r="568" spans="1:12" x14ac:dyDescent="0.25">
      <c r="A568">
        <v>10567</v>
      </c>
      <c r="B568" t="s">
        <v>988</v>
      </c>
      <c r="C568" t="s">
        <v>378</v>
      </c>
      <c r="D568" t="s">
        <v>737</v>
      </c>
      <c r="E568" t="s">
        <v>31</v>
      </c>
      <c r="F568" t="s">
        <v>32</v>
      </c>
      <c r="G568" t="s">
        <v>54</v>
      </c>
      <c r="H568" t="s">
        <v>22</v>
      </c>
      <c r="I568" t="s">
        <v>23</v>
      </c>
      <c r="J568">
        <v>5</v>
      </c>
      <c r="K568">
        <v>3907.82</v>
      </c>
      <c r="L568">
        <v>536.1</v>
      </c>
    </row>
    <row r="569" spans="1:12" x14ac:dyDescent="0.25">
      <c r="A569">
        <v>10568</v>
      </c>
      <c r="B569" t="s">
        <v>988</v>
      </c>
      <c r="C569" t="s">
        <v>342</v>
      </c>
      <c r="D569" t="s">
        <v>762</v>
      </c>
      <c r="E569" t="s">
        <v>31</v>
      </c>
      <c r="F569" t="s">
        <v>46</v>
      </c>
      <c r="G569" t="s">
        <v>47</v>
      </c>
      <c r="H569" t="s">
        <v>22</v>
      </c>
      <c r="I569" t="s">
        <v>34</v>
      </c>
      <c r="J569">
        <v>4</v>
      </c>
      <c r="K569">
        <v>3090.48</v>
      </c>
      <c r="L569">
        <v>243.19</v>
      </c>
    </row>
    <row r="570" spans="1:12" x14ac:dyDescent="0.25">
      <c r="A570">
        <v>10569</v>
      </c>
      <c r="B570" t="s">
        <v>988</v>
      </c>
      <c r="C570" t="s">
        <v>763</v>
      </c>
      <c r="D570" t="s">
        <v>696</v>
      </c>
      <c r="E570" t="s">
        <v>31</v>
      </c>
      <c r="F570" t="s">
        <v>46</v>
      </c>
      <c r="G570" t="s">
        <v>71</v>
      </c>
      <c r="H570" t="s">
        <v>27</v>
      </c>
      <c r="I570" t="s">
        <v>28</v>
      </c>
      <c r="J570">
        <v>2</v>
      </c>
      <c r="K570">
        <v>270.82</v>
      </c>
      <c r="L570">
        <v>-54.45</v>
      </c>
    </row>
    <row r="571" spans="1:12" x14ac:dyDescent="0.25">
      <c r="A571">
        <v>10570</v>
      </c>
      <c r="B571" t="s">
        <v>988</v>
      </c>
      <c r="C571" t="s">
        <v>82</v>
      </c>
      <c r="D571" t="s">
        <v>304</v>
      </c>
      <c r="E571" t="s">
        <v>13</v>
      </c>
      <c r="F571" t="s">
        <v>46</v>
      </c>
      <c r="G571" t="s">
        <v>71</v>
      </c>
      <c r="H571" t="s">
        <v>22</v>
      </c>
      <c r="I571" t="s">
        <v>34</v>
      </c>
      <c r="J571">
        <v>5</v>
      </c>
      <c r="K571">
        <v>842.88</v>
      </c>
      <c r="L571">
        <v>72.510000000000005</v>
      </c>
    </row>
    <row r="572" spans="1:12" x14ac:dyDescent="0.25">
      <c r="A572">
        <v>10571</v>
      </c>
      <c r="B572" t="s">
        <v>988</v>
      </c>
      <c r="C572" t="s">
        <v>648</v>
      </c>
      <c r="D572" t="s">
        <v>764</v>
      </c>
      <c r="E572" t="s">
        <v>13</v>
      </c>
      <c r="F572" t="s">
        <v>20</v>
      </c>
      <c r="G572" t="s">
        <v>76</v>
      </c>
      <c r="H572" t="s">
        <v>27</v>
      </c>
      <c r="I572" t="s">
        <v>77</v>
      </c>
      <c r="J572">
        <v>2</v>
      </c>
      <c r="K572">
        <v>2746.63</v>
      </c>
      <c r="L572">
        <v>44.19</v>
      </c>
    </row>
    <row r="573" spans="1:12" x14ac:dyDescent="0.25">
      <c r="A573">
        <v>10572</v>
      </c>
      <c r="B573" t="s">
        <v>988</v>
      </c>
      <c r="C573" t="s">
        <v>313</v>
      </c>
      <c r="D573" t="s">
        <v>765</v>
      </c>
      <c r="E573" t="s">
        <v>31</v>
      </c>
      <c r="F573" t="s">
        <v>32</v>
      </c>
      <c r="G573" t="s">
        <v>54</v>
      </c>
      <c r="H573" t="s">
        <v>16</v>
      </c>
      <c r="I573" t="s">
        <v>17</v>
      </c>
      <c r="J573">
        <v>7</v>
      </c>
      <c r="K573">
        <v>370.45</v>
      </c>
      <c r="L573">
        <v>46.15</v>
      </c>
    </row>
    <row r="574" spans="1:12" x14ac:dyDescent="0.25">
      <c r="A574">
        <v>10573</v>
      </c>
      <c r="B574" t="s">
        <v>988</v>
      </c>
      <c r="C574" t="s">
        <v>116</v>
      </c>
      <c r="D574" t="s">
        <v>766</v>
      </c>
      <c r="E574" t="s">
        <v>31</v>
      </c>
      <c r="F574" t="s">
        <v>14</v>
      </c>
      <c r="G574" t="s">
        <v>37</v>
      </c>
      <c r="H574" t="s">
        <v>27</v>
      </c>
      <c r="I574" t="s">
        <v>104</v>
      </c>
      <c r="J574">
        <v>3</v>
      </c>
      <c r="K574">
        <v>2816.93</v>
      </c>
      <c r="L574">
        <v>756.13</v>
      </c>
    </row>
    <row r="575" spans="1:12" x14ac:dyDescent="0.25">
      <c r="A575">
        <v>10574</v>
      </c>
      <c r="B575" t="s">
        <v>988</v>
      </c>
      <c r="C575" t="s">
        <v>344</v>
      </c>
      <c r="D575" t="s">
        <v>767</v>
      </c>
      <c r="E575" t="s">
        <v>31</v>
      </c>
      <c r="F575" t="s">
        <v>14</v>
      </c>
      <c r="G575" t="s">
        <v>37</v>
      </c>
      <c r="H575" t="s">
        <v>27</v>
      </c>
      <c r="I575" t="s">
        <v>118</v>
      </c>
      <c r="J575">
        <v>8</v>
      </c>
      <c r="K575">
        <v>3703.09</v>
      </c>
      <c r="L575">
        <v>295.39999999999998</v>
      </c>
    </row>
    <row r="576" spans="1:12" x14ac:dyDescent="0.25">
      <c r="A576">
        <v>10575</v>
      </c>
      <c r="B576" t="s">
        <v>988</v>
      </c>
      <c r="C576" t="s">
        <v>768</v>
      </c>
      <c r="D576" t="s">
        <v>769</v>
      </c>
      <c r="E576" t="s">
        <v>31</v>
      </c>
      <c r="F576" t="s">
        <v>20</v>
      </c>
      <c r="G576" t="s">
        <v>21</v>
      </c>
      <c r="H576" t="s">
        <v>16</v>
      </c>
      <c r="I576" t="s">
        <v>17</v>
      </c>
      <c r="J576">
        <v>8</v>
      </c>
      <c r="K576">
        <v>2716.31</v>
      </c>
      <c r="L576">
        <v>657.41</v>
      </c>
    </row>
    <row r="577" spans="1:12" x14ac:dyDescent="0.25">
      <c r="A577">
        <v>10576</v>
      </c>
      <c r="B577" t="s">
        <v>988</v>
      </c>
      <c r="C577" t="s">
        <v>296</v>
      </c>
      <c r="D577" t="s">
        <v>770</v>
      </c>
      <c r="E577" t="s">
        <v>13</v>
      </c>
      <c r="F577" t="s">
        <v>14</v>
      </c>
      <c r="G577" t="s">
        <v>37</v>
      </c>
      <c r="H577" t="s">
        <v>16</v>
      </c>
      <c r="I577" t="s">
        <v>81</v>
      </c>
      <c r="J577">
        <v>7</v>
      </c>
      <c r="K577">
        <v>679.12</v>
      </c>
      <c r="L577">
        <v>104.25</v>
      </c>
    </row>
    <row r="578" spans="1:12" x14ac:dyDescent="0.25">
      <c r="A578">
        <v>10577</v>
      </c>
      <c r="B578" t="s">
        <v>988</v>
      </c>
      <c r="C578" t="s">
        <v>264</v>
      </c>
      <c r="D578" t="s">
        <v>168</v>
      </c>
      <c r="E578" t="s">
        <v>26</v>
      </c>
      <c r="F578" t="s">
        <v>46</v>
      </c>
      <c r="G578" t="s">
        <v>71</v>
      </c>
      <c r="H578" t="s">
        <v>22</v>
      </c>
      <c r="I578" t="s">
        <v>23</v>
      </c>
      <c r="J578">
        <v>3</v>
      </c>
      <c r="K578">
        <v>2495.58</v>
      </c>
      <c r="L578">
        <v>45.95</v>
      </c>
    </row>
    <row r="579" spans="1:12" x14ac:dyDescent="0.25">
      <c r="A579">
        <v>10578</v>
      </c>
      <c r="B579" t="s">
        <v>988</v>
      </c>
      <c r="C579" t="s">
        <v>508</v>
      </c>
      <c r="D579" t="s">
        <v>771</v>
      </c>
      <c r="E579" t="s">
        <v>26</v>
      </c>
      <c r="F579" t="s">
        <v>46</v>
      </c>
      <c r="G579" t="s">
        <v>71</v>
      </c>
      <c r="H579" t="s">
        <v>22</v>
      </c>
      <c r="I579" t="s">
        <v>23</v>
      </c>
      <c r="J579">
        <v>5</v>
      </c>
      <c r="K579">
        <v>4121.62</v>
      </c>
      <c r="L579">
        <v>245.21</v>
      </c>
    </row>
    <row r="580" spans="1:12" x14ac:dyDescent="0.25">
      <c r="A580">
        <v>10579</v>
      </c>
      <c r="B580" t="s">
        <v>988</v>
      </c>
      <c r="C580" t="s">
        <v>455</v>
      </c>
      <c r="D580" t="s">
        <v>772</v>
      </c>
      <c r="E580" t="s">
        <v>31</v>
      </c>
      <c r="F580" t="s">
        <v>14</v>
      </c>
      <c r="G580" t="s">
        <v>37</v>
      </c>
      <c r="H580" t="s">
        <v>16</v>
      </c>
      <c r="I580" t="s">
        <v>43</v>
      </c>
      <c r="J580">
        <v>2</v>
      </c>
      <c r="K580">
        <v>4041.82</v>
      </c>
      <c r="L580">
        <v>551.61</v>
      </c>
    </row>
    <row r="581" spans="1:12" x14ac:dyDescent="0.25">
      <c r="A581">
        <v>10580</v>
      </c>
      <c r="B581" t="s">
        <v>988</v>
      </c>
      <c r="C581" t="s">
        <v>435</v>
      </c>
      <c r="D581" t="s">
        <v>590</v>
      </c>
      <c r="E581" t="s">
        <v>31</v>
      </c>
      <c r="F581" t="s">
        <v>14</v>
      </c>
      <c r="G581" t="s">
        <v>15</v>
      </c>
      <c r="H581" t="s">
        <v>27</v>
      </c>
      <c r="I581" t="s">
        <v>104</v>
      </c>
      <c r="J581">
        <v>1</v>
      </c>
      <c r="K581">
        <v>3006.12</v>
      </c>
      <c r="L581">
        <v>390.37</v>
      </c>
    </row>
    <row r="582" spans="1:12" x14ac:dyDescent="0.25">
      <c r="A582">
        <v>10581</v>
      </c>
      <c r="B582" t="s">
        <v>988</v>
      </c>
      <c r="C582" t="s">
        <v>773</v>
      </c>
      <c r="D582" t="s">
        <v>774</v>
      </c>
      <c r="E582" t="s">
        <v>31</v>
      </c>
      <c r="F582" t="s">
        <v>46</v>
      </c>
      <c r="G582" t="s">
        <v>47</v>
      </c>
      <c r="H582" t="s">
        <v>16</v>
      </c>
      <c r="I582" t="s">
        <v>43</v>
      </c>
      <c r="J582">
        <v>8</v>
      </c>
      <c r="K582">
        <v>1293.8599999999999</v>
      </c>
      <c r="L582">
        <v>239.61</v>
      </c>
    </row>
    <row r="583" spans="1:12" x14ac:dyDescent="0.25">
      <c r="A583">
        <v>10582</v>
      </c>
      <c r="B583" t="s">
        <v>988</v>
      </c>
      <c r="C583" t="s">
        <v>344</v>
      </c>
      <c r="D583" t="s">
        <v>775</v>
      </c>
      <c r="E583" t="s">
        <v>31</v>
      </c>
      <c r="F583" t="s">
        <v>46</v>
      </c>
      <c r="G583" t="s">
        <v>71</v>
      </c>
      <c r="H583" t="s">
        <v>27</v>
      </c>
      <c r="I583" t="s">
        <v>118</v>
      </c>
      <c r="J583">
        <v>1</v>
      </c>
      <c r="K583">
        <v>135.4</v>
      </c>
      <c r="L583">
        <v>-32.549999999999997</v>
      </c>
    </row>
    <row r="584" spans="1:12" x14ac:dyDescent="0.25">
      <c r="A584">
        <v>10583</v>
      </c>
      <c r="B584" t="s">
        <v>988</v>
      </c>
      <c r="C584" t="s">
        <v>229</v>
      </c>
      <c r="D584" t="s">
        <v>761</v>
      </c>
      <c r="E584" t="s">
        <v>26</v>
      </c>
      <c r="F584" t="s">
        <v>20</v>
      </c>
      <c r="G584" t="s">
        <v>21</v>
      </c>
      <c r="H584" t="s">
        <v>22</v>
      </c>
      <c r="I584" t="s">
        <v>48</v>
      </c>
      <c r="J584">
        <v>5</v>
      </c>
      <c r="K584">
        <v>2663.13</v>
      </c>
      <c r="L584">
        <v>313.67</v>
      </c>
    </row>
    <row r="585" spans="1:12" x14ac:dyDescent="0.25">
      <c r="A585">
        <v>10584</v>
      </c>
      <c r="B585" t="s">
        <v>988</v>
      </c>
      <c r="C585" t="s">
        <v>452</v>
      </c>
      <c r="D585" t="s">
        <v>506</v>
      </c>
      <c r="E585" t="s">
        <v>26</v>
      </c>
      <c r="F585" t="s">
        <v>46</v>
      </c>
      <c r="G585" t="s">
        <v>47</v>
      </c>
      <c r="H585" t="s">
        <v>16</v>
      </c>
      <c r="I585" t="s">
        <v>81</v>
      </c>
      <c r="J585">
        <v>5</v>
      </c>
      <c r="K585">
        <v>1804.48</v>
      </c>
      <c r="L585">
        <v>68.72</v>
      </c>
    </row>
    <row r="586" spans="1:12" x14ac:dyDescent="0.25">
      <c r="A586">
        <v>10585</v>
      </c>
      <c r="B586" t="s">
        <v>988</v>
      </c>
      <c r="C586" t="s">
        <v>203</v>
      </c>
      <c r="D586" t="s">
        <v>776</v>
      </c>
      <c r="E586" t="s">
        <v>26</v>
      </c>
      <c r="F586" t="s">
        <v>32</v>
      </c>
      <c r="G586" t="s">
        <v>33</v>
      </c>
      <c r="H586" t="s">
        <v>27</v>
      </c>
      <c r="I586" t="s">
        <v>104</v>
      </c>
      <c r="J586">
        <v>5</v>
      </c>
      <c r="K586">
        <v>360.04</v>
      </c>
      <c r="L586">
        <v>13.22</v>
      </c>
    </row>
    <row r="587" spans="1:12" x14ac:dyDescent="0.25">
      <c r="A587">
        <v>10586</v>
      </c>
      <c r="B587" t="s">
        <v>988</v>
      </c>
      <c r="C587" t="s">
        <v>245</v>
      </c>
      <c r="D587" t="s">
        <v>777</v>
      </c>
      <c r="E587" t="s">
        <v>26</v>
      </c>
      <c r="F587" t="s">
        <v>46</v>
      </c>
      <c r="G587" t="s">
        <v>71</v>
      </c>
      <c r="H587" t="s">
        <v>22</v>
      </c>
      <c r="I587" t="s">
        <v>38</v>
      </c>
      <c r="J587">
        <v>5</v>
      </c>
      <c r="K587">
        <v>1126.99</v>
      </c>
      <c r="L587">
        <v>65.489999999999995</v>
      </c>
    </row>
    <row r="588" spans="1:12" x14ac:dyDescent="0.25">
      <c r="A588">
        <v>10587</v>
      </c>
      <c r="B588" t="s">
        <v>988</v>
      </c>
      <c r="C588" t="s">
        <v>310</v>
      </c>
      <c r="D588" t="s">
        <v>778</v>
      </c>
      <c r="E588" t="s">
        <v>13</v>
      </c>
      <c r="F588" t="s">
        <v>14</v>
      </c>
      <c r="G588" t="s">
        <v>15</v>
      </c>
      <c r="H588" t="s">
        <v>22</v>
      </c>
      <c r="I588" t="s">
        <v>23</v>
      </c>
      <c r="J588">
        <v>8</v>
      </c>
      <c r="K588">
        <v>2623.03</v>
      </c>
      <c r="L588">
        <v>154.09</v>
      </c>
    </row>
    <row r="589" spans="1:12" x14ac:dyDescent="0.25">
      <c r="A589">
        <v>10588</v>
      </c>
      <c r="B589" t="s">
        <v>988</v>
      </c>
      <c r="C589" t="s">
        <v>593</v>
      </c>
      <c r="D589" t="s">
        <v>779</v>
      </c>
      <c r="E589" t="s">
        <v>26</v>
      </c>
      <c r="F589" t="s">
        <v>32</v>
      </c>
      <c r="G589" t="s">
        <v>54</v>
      </c>
      <c r="H589" t="s">
        <v>22</v>
      </c>
      <c r="I589" t="s">
        <v>38</v>
      </c>
      <c r="J589">
        <v>4</v>
      </c>
      <c r="K589">
        <v>3916.98</v>
      </c>
      <c r="L589">
        <v>505.41</v>
      </c>
    </row>
    <row r="590" spans="1:12" x14ac:dyDescent="0.25">
      <c r="A590">
        <v>10589</v>
      </c>
      <c r="B590" t="s">
        <v>988</v>
      </c>
      <c r="C590" t="s">
        <v>229</v>
      </c>
      <c r="D590" t="s">
        <v>710</v>
      </c>
      <c r="E590" t="s">
        <v>26</v>
      </c>
      <c r="F590" t="s">
        <v>20</v>
      </c>
      <c r="G590" t="s">
        <v>21</v>
      </c>
      <c r="H590" t="s">
        <v>22</v>
      </c>
      <c r="I590" t="s">
        <v>34</v>
      </c>
      <c r="J590">
        <v>8</v>
      </c>
      <c r="K590">
        <v>366.26</v>
      </c>
      <c r="L590">
        <v>36.61</v>
      </c>
    </row>
    <row r="591" spans="1:12" x14ac:dyDescent="0.25">
      <c r="A591">
        <v>10590</v>
      </c>
      <c r="B591" t="s">
        <v>988</v>
      </c>
      <c r="C591" t="s">
        <v>745</v>
      </c>
      <c r="D591" t="s">
        <v>780</v>
      </c>
      <c r="E591" t="s">
        <v>13</v>
      </c>
      <c r="F591" t="s">
        <v>20</v>
      </c>
      <c r="G591" t="s">
        <v>76</v>
      </c>
      <c r="H591" t="s">
        <v>22</v>
      </c>
      <c r="I591" t="s">
        <v>34</v>
      </c>
      <c r="J591">
        <v>4</v>
      </c>
      <c r="K591">
        <v>3196.9</v>
      </c>
      <c r="L591">
        <v>919.31</v>
      </c>
    </row>
    <row r="592" spans="1:12" x14ac:dyDescent="0.25">
      <c r="A592">
        <v>10591</v>
      </c>
      <c r="B592" t="s">
        <v>988</v>
      </c>
      <c r="C592" t="s">
        <v>781</v>
      </c>
      <c r="D592" t="s">
        <v>782</v>
      </c>
      <c r="E592" t="s">
        <v>26</v>
      </c>
      <c r="F592" t="s">
        <v>14</v>
      </c>
      <c r="G592" t="s">
        <v>37</v>
      </c>
      <c r="H592" t="s">
        <v>22</v>
      </c>
      <c r="I592" t="s">
        <v>23</v>
      </c>
      <c r="J592">
        <v>8</v>
      </c>
      <c r="K592">
        <v>2347.04</v>
      </c>
      <c r="L592">
        <v>183.45</v>
      </c>
    </row>
    <row r="593" spans="1:12" x14ac:dyDescent="0.25">
      <c r="A593">
        <v>10592</v>
      </c>
      <c r="B593" t="s">
        <v>988</v>
      </c>
      <c r="C593" t="s">
        <v>195</v>
      </c>
      <c r="D593" t="s">
        <v>441</v>
      </c>
      <c r="E593" t="s">
        <v>26</v>
      </c>
      <c r="F593" t="s">
        <v>46</v>
      </c>
      <c r="G593" t="s">
        <v>71</v>
      </c>
      <c r="H593" t="s">
        <v>22</v>
      </c>
      <c r="I593" t="s">
        <v>34</v>
      </c>
      <c r="J593">
        <v>8</v>
      </c>
      <c r="K593">
        <v>4324.78</v>
      </c>
      <c r="L593">
        <v>402.91</v>
      </c>
    </row>
    <row r="594" spans="1:12" x14ac:dyDescent="0.25">
      <c r="A594">
        <v>10593</v>
      </c>
      <c r="B594" t="s">
        <v>988</v>
      </c>
      <c r="C594" t="s">
        <v>100</v>
      </c>
      <c r="D594" t="s">
        <v>740</v>
      </c>
      <c r="E594" t="s">
        <v>26</v>
      </c>
      <c r="F594" t="s">
        <v>20</v>
      </c>
      <c r="G594" t="s">
        <v>21</v>
      </c>
      <c r="H594" t="s">
        <v>22</v>
      </c>
      <c r="I594" t="s">
        <v>38</v>
      </c>
      <c r="J594">
        <v>7</v>
      </c>
      <c r="K594">
        <v>2939.39</v>
      </c>
      <c r="L594">
        <v>743.15</v>
      </c>
    </row>
    <row r="595" spans="1:12" x14ac:dyDescent="0.25">
      <c r="A595">
        <v>10594</v>
      </c>
      <c r="B595" t="s">
        <v>988</v>
      </c>
      <c r="C595" t="s">
        <v>151</v>
      </c>
      <c r="D595" t="s">
        <v>516</v>
      </c>
      <c r="E595" t="s">
        <v>26</v>
      </c>
      <c r="F595" t="s">
        <v>20</v>
      </c>
      <c r="G595" t="s">
        <v>21</v>
      </c>
      <c r="H595" t="s">
        <v>22</v>
      </c>
      <c r="I595" t="s">
        <v>34</v>
      </c>
      <c r="J595">
        <v>1</v>
      </c>
      <c r="K595">
        <v>2185.92</v>
      </c>
      <c r="L595">
        <v>243.81</v>
      </c>
    </row>
    <row r="596" spans="1:12" x14ac:dyDescent="0.25">
      <c r="A596">
        <v>10595</v>
      </c>
      <c r="B596" t="s">
        <v>988</v>
      </c>
      <c r="C596" t="s">
        <v>783</v>
      </c>
      <c r="D596" t="s">
        <v>397</v>
      </c>
      <c r="E596" t="s">
        <v>26</v>
      </c>
      <c r="F596" t="s">
        <v>20</v>
      </c>
      <c r="G596" t="s">
        <v>76</v>
      </c>
      <c r="H596" t="s">
        <v>22</v>
      </c>
      <c r="I596" t="s">
        <v>23</v>
      </c>
      <c r="J596">
        <v>1</v>
      </c>
      <c r="K596">
        <v>3496.48</v>
      </c>
      <c r="L596">
        <v>508.46</v>
      </c>
    </row>
    <row r="597" spans="1:12" x14ac:dyDescent="0.25">
      <c r="A597">
        <v>10596</v>
      </c>
      <c r="B597" t="s">
        <v>988</v>
      </c>
      <c r="C597" t="s">
        <v>728</v>
      </c>
      <c r="D597" t="s">
        <v>710</v>
      </c>
      <c r="E597" t="s">
        <v>31</v>
      </c>
      <c r="F597" t="s">
        <v>14</v>
      </c>
      <c r="G597" t="s">
        <v>15</v>
      </c>
      <c r="H597" t="s">
        <v>27</v>
      </c>
      <c r="I597" t="s">
        <v>28</v>
      </c>
      <c r="J597">
        <v>3</v>
      </c>
      <c r="K597">
        <v>3546.19</v>
      </c>
      <c r="L597">
        <v>863.17</v>
      </c>
    </row>
    <row r="598" spans="1:12" x14ac:dyDescent="0.25">
      <c r="A598">
        <v>10597</v>
      </c>
      <c r="B598" t="s">
        <v>988</v>
      </c>
      <c r="C598" t="s">
        <v>784</v>
      </c>
      <c r="D598" t="s">
        <v>160</v>
      </c>
      <c r="E598" t="s">
        <v>31</v>
      </c>
      <c r="F598" t="s">
        <v>46</v>
      </c>
      <c r="G598" t="s">
        <v>47</v>
      </c>
      <c r="H598" t="s">
        <v>22</v>
      </c>
      <c r="I598" t="s">
        <v>38</v>
      </c>
      <c r="J598">
        <v>8</v>
      </c>
      <c r="K598">
        <v>3549.12</v>
      </c>
      <c r="L598">
        <v>115.94</v>
      </c>
    </row>
    <row r="599" spans="1:12" x14ac:dyDescent="0.25">
      <c r="A599">
        <v>10598</v>
      </c>
      <c r="B599" t="s">
        <v>988</v>
      </c>
      <c r="C599" t="s">
        <v>482</v>
      </c>
      <c r="D599" t="s">
        <v>304</v>
      </c>
      <c r="E599" t="s">
        <v>13</v>
      </c>
      <c r="F599" t="s">
        <v>14</v>
      </c>
      <c r="G599" t="s">
        <v>37</v>
      </c>
      <c r="H599" t="s">
        <v>27</v>
      </c>
      <c r="I599" t="s">
        <v>28</v>
      </c>
      <c r="J599">
        <v>4</v>
      </c>
      <c r="K599">
        <v>3959.69</v>
      </c>
      <c r="L599">
        <v>190.04</v>
      </c>
    </row>
    <row r="600" spans="1:12" x14ac:dyDescent="0.25">
      <c r="A600">
        <v>10599</v>
      </c>
      <c r="B600" t="s">
        <v>988</v>
      </c>
      <c r="C600" t="s">
        <v>612</v>
      </c>
      <c r="D600" t="s">
        <v>636</v>
      </c>
      <c r="E600" t="s">
        <v>13</v>
      </c>
      <c r="F600" t="s">
        <v>32</v>
      </c>
      <c r="G600" t="s">
        <v>33</v>
      </c>
      <c r="H600" t="s">
        <v>22</v>
      </c>
      <c r="I600" t="s">
        <v>34</v>
      </c>
      <c r="J600">
        <v>6</v>
      </c>
      <c r="K600">
        <v>2380.23</v>
      </c>
      <c r="L600">
        <v>106.69</v>
      </c>
    </row>
    <row r="601" spans="1:12" x14ac:dyDescent="0.25">
      <c r="A601">
        <v>10600</v>
      </c>
      <c r="B601" t="s">
        <v>988</v>
      </c>
      <c r="C601" t="s">
        <v>161</v>
      </c>
      <c r="D601" t="s">
        <v>730</v>
      </c>
      <c r="E601" t="s">
        <v>13</v>
      </c>
      <c r="F601" t="s">
        <v>14</v>
      </c>
      <c r="G601" t="s">
        <v>15</v>
      </c>
      <c r="H601" t="s">
        <v>22</v>
      </c>
      <c r="I601" t="s">
        <v>38</v>
      </c>
      <c r="J601">
        <v>4</v>
      </c>
      <c r="K601">
        <v>2744.21</v>
      </c>
      <c r="L601">
        <v>508.75</v>
      </c>
    </row>
    <row r="602" spans="1:12" x14ac:dyDescent="0.25">
      <c r="A602">
        <v>10601</v>
      </c>
      <c r="B602" t="s">
        <v>988</v>
      </c>
      <c r="C602" t="s">
        <v>542</v>
      </c>
      <c r="D602" t="s">
        <v>785</v>
      </c>
      <c r="E602" t="s">
        <v>31</v>
      </c>
      <c r="F602" t="s">
        <v>46</v>
      </c>
      <c r="G602" t="s">
        <v>71</v>
      </c>
      <c r="H602" t="s">
        <v>27</v>
      </c>
      <c r="I602" t="s">
        <v>28</v>
      </c>
      <c r="J602">
        <v>5</v>
      </c>
      <c r="K602">
        <v>2567.4699999999998</v>
      </c>
      <c r="L602">
        <v>394.39</v>
      </c>
    </row>
    <row r="603" spans="1:12" x14ac:dyDescent="0.25">
      <c r="A603">
        <v>10602</v>
      </c>
      <c r="B603" t="s">
        <v>988</v>
      </c>
      <c r="C603" t="s">
        <v>786</v>
      </c>
      <c r="D603" t="s">
        <v>787</v>
      </c>
      <c r="E603" t="s">
        <v>31</v>
      </c>
      <c r="F603" t="s">
        <v>20</v>
      </c>
      <c r="G603" t="s">
        <v>21</v>
      </c>
      <c r="H603" t="s">
        <v>27</v>
      </c>
      <c r="I603" t="s">
        <v>28</v>
      </c>
      <c r="J603">
        <v>8</v>
      </c>
      <c r="K603">
        <v>3142.66</v>
      </c>
      <c r="L603">
        <v>691.05</v>
      </c>
    </row>
    <row r="604" spans="1:12" x14ac:dyDescent="0.25">
      <c r="A604">
        <v>10603</v>
      </c>
      <c r="B604" t="s">
        <v>988</v>
      </c>
      <c r="C604" t="s">
        <v>374</v>
      </c>
      <c r="D604" t="s">
        <v>788</v>
      </c>
      <c r="E604" t="s">
        <v>26</v>
      </c>
      <c r="F604" t="s">
        <v>14</v>
      </c>
      <c r="G604" t="s">
        <v>15</v>
      </c>
      <c r="H604" t="s">
        <v>27</v>
      </c>
      <c r="I604" t="s">
        <v>104</v>
      </c>
      <c r="J604">
        <v>5</v>
      </c>
      <c r="K604">
        <v>4795.46</v>
      </c>
      <c r="L604">
        <v>315.55</v>
      </c>
    </row>
    <row r="605" spans="1:12" x14ac:dyDescent="0.25">
      <c r="A605">
        <v>10604</v>
      </c>
      <c r="B605" t="s">
        <v>988</v>
      </c>
      <c r="C605" t="s">
        <v>203</v>
      </c>
      <c r="D605" t="s">
        <v>789</v>
      </c>
      <c r="E605" t="s">
        <v>31</v>
      </c>
      <c r="F605" t="s">
        <v>20</v>
      </c>
      <c r="G605" t="s">
        <v>21</v>
      </c>
      <c r="H605" t="s">
        <v>22</v>
      </c>
      <c r="I605" t="s">
        <v>23</v>
      </c>
      <c r="J605">
        <v>5</v>
      </c>
      <c r="K605">
        <v>2141.0300000000002</v>
      </c>
      <c r="L605">
        <v>379.14</v>
      </c>
    </row>
    <row r="606" spans="1:12" x14ac:dyDescent="0.25">
      <c r="A606">
        <v>10605</v>
      </c>
      <c r="B606" t="s">
        <v>988</v>
      </c>
      <c r="C606" t="s">
        <v>495</v>
      </c>
      <c r="D606" t="s">
        <v>501</v>
      </c>
      <c r="E606" t="s">
        <v>31</v>
      </c>
      <c r="F606" t="s">
        <v>20</v>
      </c>
      <c r="G606" t="s">
        <v>21</v>
      </c>
      <c r="H606" t="s">
        <v>27</v>
      </c>
      <c r="I606" t="s">
        <v>104</v>
      </c>
      <c r="J606">
        <v>2</v>
      </c>
      <c r="K606">
        <v>207.98</v>
      </c>
      <c r="L606">
        <v>-31.4</v>
      </c>
    </row>
    <row r="607" spans="1:12" x14ac:dyDescent="0.25">
      <c r="A607">
        <v>10606</v>
      </c>
      <c r="B607" t="s">
        <v>988</v>
      </c>
      <c r="C607" t="s">
        <v>310</v>
      </c>
      <c r="D607" t="s">
        <v>790</v>
      </c>
      <c r="E607" t="s">
        <v>31</v>
      </c>
      <c r="F607" t="s">
        <v>20</v>
      </c>
      <c r="G607" t="s">
        <v>76</v>
      </c>
      <c r="H607" t="s">
        <v>16</v>
      </c>
      <c r="I607" t="s">
        <v>17</v>
      </c>
      <c r="J607">
        <v>8</v>
      </c>
      <c r="K607">
        <v>3007.45</v>
      </c>
      <c r="L607">
        <v>590.13</v>
      </c>
    </row>
    <row r="608" spans="1:12" x14ac:dyDescent="0.25">
      <c r="A608">
        <v>10607</v>
      </c>
      <c r="B608" t="s">
        <v>988</v>
      </c>
      <c r="C608" t="s">
        <v>791</v>
      </c>
      <c r="D608" t="s">
        <v>792</v>
      </c>
      <c r="E608" t="s">
        <v>31</v>
      </c>
      <c r="F608" t="s">
        <v>46</v>
      </c>
      <c r="G608" t="s">
        <v>47</v>
      </c>
      <c r="H608" t="s">
        <v>22</v>
      </c>
      <c r="I608" t="s">
        <v>38</v>
      </c>
      <c r="J608">
        <v>4</v>
      </c>
      <c r="K608">
        <v>2472.79</v>
      </c>
      <c r="L608">
        <v>646.76</v>
      </c>
    </row>
    <row r="609" spans="1:12" x14ac:dyDescent="0.25">
      <c r="A609">
        <v>10608</v>
      </c>
      <c r="B609" t="s">
        <v>988</v>
      </c>
      <c r="C609" t="s">
        <v>716</v>
      </c>
      <c r="D609" t="s">
        <v>793</v>
      </c>
      <c r="E609" t="s">
        <v>26</v>
      </c>
      <c r="F609" t="s">
        <v>32</v>
      </c>
      <c r="G609" t="s">
        <v>54</v>
      </c>
      <c r="H609" t="s">
        <v>22</v>
      </c>
      <c r="I609" t="s">
        <v>48</v>
      </c>
      <c r="J609">
        <v>5</v>
      </c>
      <c r="K609">
        <v>993.17</v>
      </c>
      <c r="L609">
        <v>22.39</v>
      </c>
    </row>
    <row r="610" spans="1:12" x14ac:dyDescent="0.25">
      <c r="A610">
        <v>10609</v>
      </c>
      <c r="B610" t="s">
        <v>988</v>
      </c>
      <c r="C610" t="s">
        <v>440</v>
      </c>
      <c r="D610" t="s">
        <v>794</v>
      </c>
      <c r="E610" t="s">
        <v>13</v>
      </c>
      <c r="F610" t="s">
        <v>46</v>
      </c>
      <c r="G610" t="s">
        <v>71</v>
      </c>
      <c r="H610" t="s">
        <v>22</v>
      </c>
      <c r="I610" t="s">
        <v>23</v>
      </c>
      <c r="J610">
        <v>6</v>
      </c>
      <c r="K610">
        <v>2915.17</v>
      </c>
      <c r="L610">
        <v>430.11</v>
      </c>
    </row>
    <row r="611" spans="1:12" x14ac:dyDescent="0.25">
      <c r="A611">
        <v>10610</v>
      </c>
      <c r="B611" t="s">
        <v>988</v>
      </c>
      <c r="C611" t="s">
        <v>795</v>
      </c>
      <c r="D611" t="s">
        <v>796</v>
      </c>
      <c r="E611" t="s">
        <v>31</v>
      </c>
      <c r="F611" t="s">
        <v>14</v>
      </c>
      <c r="G611" t="s">
        <v>37</v>
      </c>
      <c r="H611" t="s">
        <v>27</v>
      </c>
      <c r="I611" t="s">
        <v>104</v>
      </c>
      <c r="J611">
        <v>6</v>
      </c>
      <c r="K611">
        <v>2297.3000000000002</v>
      </c>
      <c r="L611">
        <v>621.74</v>
      </c>
    </row>
    <row r="612" spans="1:12" x14ac:dyDescent="0.25">
      <c r="A612">
        <v>10611</v>
      </c>
      <c r="B612" t="s">
        <v>988</v>
      </c>
      <c r="C612" t="s">
        <v>305</v>
      </c>
      <c r="D612" t="s">
        <v>608</v>
      </c>
      <c r="E612" t="s">
        <v>13</v>
      </c>
      <c r="F612" t="s">
        <v>20</v>
      </c>
      <c r="G612" t="s">
        <v>21</v>
      </c>
      <c r="H612" t="s">
        <v>27</v>
      </c>
      <c r="I612" t="s">
        <v>28</v>
      </c>
      <c r="J612">
        <v>3</v>
      </c>
      <c r="K612">
        <v>121.04</v>
      </c>
      <c r="L612">
        <v>-69.16</v>
      </c>
    </row>
    <row r="613" spans="1:12" x14ac:dyDescent="0.25">
      <c r="A613">
        <v>10612</v>
      </c>
      <c r="B613" t="s">
        <v>988</v>
      </c>
      <c r="C613" t="s">
        <v>102</v>
      </c>
      <c r="D613" t="s">
        <v>797</v>
      </c>
      <c r="E613" t="s">
        <v>13</v>
      </c>
      <c r="F613" t="s">
        <v>32</v>
      </c>
      <c r="G613" t="s">
        <v>54</v>
      </c>
      <c r="H613" t="s">
        <v>27</v>
      </c>
      <c r="I613" t="s">
        <v>104</v>
      </c>
      <c r="J613">
        <v>8</v>
      </c>
      <c r="K613">
        <v>1759.55</v>
      </c>
      <c r="L613">
        <v>89.49</v>
      </c>
    </row>
    <row r="614" spans="1:12" x14ac:dyDescent="0.25">
      <c r="A614">
        <v>10613</v>
      </c>
      <c r="B614" t="s">
        <v>988</v>
      </c>
      <c r="C614" t="s">
        <v>330</v>
      </c>
      <c r="D614" t="s">
        <v>798</v>
      </c>
      <c r="E614" t="s">
        <v>13</v>
      </c>
      <c r="F614" t="s">
        <v>14</v>
      </c>
      <c r="G614" t="s">
        <v>37</v>
      </c>
      <c r="H614" t="s">
        <v>22</v>
      </c>
      <c r="I614" t="s">
        <v>34</v>
      </c>
      <c r="J614">
        <v>4</v>
      </c>
      <c r="K614">
        <v>2285.27</v>
      </c>
      <c r="L614">
        <v>161.6</v>
      </c>
    </row>
    <row r="615" spans="1:12" x14ac:dyDescent="0.25">
      <c r="A615">
        <v>10614</v>
      </c>
      <c r="B615" t="s">
        <v>988</v>
      </c>
      <c r="C615" t="s">
        <v>538</v>
      </c>
      <c r="D615" t="s">
        <v>799</v>
      </c>
      <c r="E615" t="s">
        <v>31</v>
      </c>
      <c r="F615" t="s">
        <v>46</v>
      </c>
      <c r="G615" t="s">
        <v>47</v>
      </c>
      <c r="H615" t="s">
        <v>22</v>
      </c>
      <c r="I615" t="s">
        <v>23</v>
      </c>
      <c r="J615">
        <v>2</v>
      </c>
      <c r="K615">
        <v>2738.22</v>
      </c>
      <c r="L615">
        <v>374.7</v>
      </c>
    </row>
    <row r="616" spans="1:12" x14ac:dyDescent="0.25">
      <c r="A616">
        <v>10615</v>
      </c>
      <c r="B616" t="s">
        <v>988</v>
      </c>
      <c r="C616" t="s">
        <v>784</v>
      </c>
      <c r="D616" t="s">
        <v>800</v>
      </c>
      <c r="E616" t="s">
        <v>26</v>
      </c>
      <c r="F616" t="s">
        <v>46</v>
      </c>
      <c r="G616" t="s">
        <v>47</v>
      </c>
      <c r="H616" t="s">
        <v>27</v>
      </c>
      <c r="I616" t="s">
        <v>118</v>
      </c>
      <c r="J616">
        <v>6</v>
      </c>
      <c r="K616">
        <v>2048.0300000000002</v>
      </c>
      <c r="L616">
        <v>426.22</v>
      </c>
    </row>
    <row r="617" spans="1:12" x14ac:dyDescent="0.25">
      <c r="A617">
        <v>10616</v>
      </c>
      <c r="B617" t="s">
        <v>988</v>
      </c>
      <c r="C617" t="s">
        <v>310</v>
      </c>
      <c r="D617" t="s">
        <v>394</v>
      </c>
      <c r="E617" t="s">
        <v>31</v>
      </c>
      <c r="F617" t="s">
        <v>32</v>
      </c>
      <c r="G617" t="s">
        <v>54</v>
      </c>
      <c r="H617" t="s">
        <v>27</v>
      </c>
      <c r="I617" t="s">
        <v>28</v>
      </c>
      <c r="J617">
        <v>8</v>
      </c>
      <c r="K617">
        <v>4384.08</v>
      </c>
      <c r="L617">
        <v>242.43</v>
      </c>
    </row>
    <row r="618" spans="1:12" x14ac:dyDescent="0.25">
      <c r="A618">
        <v>10617</v>
      </c>
      <c r="B618" t="s">
        <v>988</v>
      </c>
      <c r="C618" t="s">
        <v>409</v>
      </c>
      <c r="D618" t="s">
        <v>801</v>
      </c>
      <c r="E618" t="s">
        <v>31</v>
      </c>
      <c r="F618" t="s">
        <v>20</v>
      </c>
      <c r="G618" t="s">
        <v>76</v>
      </c>
      <c r="H618" t="s">
        <v>22</v>
      </c>
      <c r="I618" t="s">
        <v>34</v>
      </c>
      <c r="J618">
        <v>7</v>
      </c>
      <c r="K618">
        <v>783.88</v>
      </c>
      <c r="L618">
        <v>145.66</v>
      </c>
    </row>
    <row r="619" spans="1:12" x14ac:dyDescent="0.25">
      <c r="A619">
        <v>10618</v>
      </c>
      <c r="B619" t="s">
        <v>988</v>
      </c>
      <c r="C619" t="s">
        <v>119</v>
      </c>
      <c r="D619" t="s">
        <v>802</v>
      </c>
      <c r="E619" t="s">
        <v>31</v>
      </c>
      <c r="F619" t="s">
        <v>32</v>
      </c>
      <c r="G619" t="s">
        <v>33</v>
      </c>
      <c r="H619" t="s">
        <v>16</v>
      </c>
      <c r="I619" t="s">
        <v>51</v>
      </c>
      <c r="J619">
        <v>2</v>
      </c>
      <c r="K619">
        <v>132.43</v>
      </c>
      <c r="L619">
        <v>0.44</v>
      </c>
    </row>
    <row r="620" spans="1:12" x14ac:dyDescent="0.25">
      <c r="A620">
        <v>10619</v>
      </c>
      <c r="B620" t="s">
        <v>988</v>
      </c>
      <c r="C620" t="s">
        <v>562</v>
      </c>
      <c r="D620" t="s">
        <v>803</v>
      </c>
      <c r="E620" t="s">
        <v>31</v>
      </c>
      <c r="F620" t="s">
        <v>46</v>
      </c>
      <c r="G620" t="s">
        <v>71</v>
      </c>
      <c r="H620" t="s">
        <v>22</v>
      </c>
      <c r="I620" t="s">
        <v>34</v>
      </c>
      <c r="J620">
        <v>5</v>
      </c>
      <c r="K620">
        <v>2813.95</v>
      </c>
      <c r="L620">
        <v>87.78</v>
      </c>
    </row>
    <row r="621" spans="1:12" x14ac:dyDescent="0.25">
      <c r="A621">
        <v>10620</v>
      </c>
      <c r="B621" t="s">
        <v>988</v>
      </c>
      <c r="C621" t="s">
        <v>505</v>
      </c>
      <c r="D621" t="s">
        <v>804</v>
      </c>
      <c r="E621" t="s">
        <v>13</v>
      </c>
      <c r="F621" t="s">
        <v>20</v>
      </c>
      <c r="G621" t="s">
        <v>21</v>
      </c>
      <c r="H621" t="s">
        <v>22</v>
      </c>
      <c r="I621" t="s">
        <v>23</v>
      </c>
      <c r="J621">
        <v>3</v>
      </c>
      <c r="K621">
        <v>1387.12</v>
      </c>
      <c r="L621">
        <v>317.45999999999998</v>
      </c>
    </row>
    <row r="622" spans="1:12" x14ac:dyDescent="0.25">
      <c r="A622">
        <v>10621</v>
      </c>
      <c r="B622" t="s">
        <v>988</v>
      </c>
      <c r="C622" t="s">
        <v>246</v>
      </c>
      <c r="D622" t="s">
        <v>628</v>
      </c>
      <c r="E622" t="s">
        <v>13</v>
      </c>
      <c r="F622" t="s">
        <v>32</v>
      </c>
      <c r="G622" t="s">
        <v>54</v>
      </c>
      <c r="H622" t="s">
        <v>22</v>
      </c>
      <c r="I622" t="s">
        <v>34</v>
      </c>
      <c r="J622">
        <v>4</v>
      </c>
      <c r="K622">
        <v>239.37</v>
      </c>
      <c r="L622">
        <v>8.43</v>
      </c>
    </row>
    <row r="623" spans="1:12" x14ac:dyDescent="0.25">
      <c r="A623">
        <v>10622</v>
      </c>
      <c r="B623" t="s">
        <v>988</v>
      </c>
      <c r="C623" t="s">
        <v>163</v>
      </c>
      <c r="D623" t="s">
        <v>373</v>
      </c>
      <c r="E623" t="s">
        <v>13</v>
      </c>
      <c r="F623" t="s">
        <v>32</v>
      </c>
      <c r="G623" t="s">
        <v>54</v>
      </c>
      <c r="H623" t="s">
        <v>16</v>
      </c>
      <c r="I623" t="s">
        <v>51</v>
      </c>
      <c r="J623">
        <v>5</v>
      </c>
      <c r="K623">
        <v>3177.18</v>
      </c>
      <c r="L623">
        <v>467.55</v>
      </c>
    </row>
    <row r="624" spans="1:12" x14ac:dyDescent="0.25">
      <c r="A624">
        <v>10623</v>
      </c>
      <c r="B624" t="s">
        <v>988</v>
      </c>
      <c r="C624" t="s">
        <v>668</v>
      </c>
      <c r="D624" t="s">
        <v>805</v>
      </c>
      <c r="E624" t="s">
        <v>31</v>
      </c>
      <c r="F624" t="s">
        <v>14</v>
      </c>
      <c r="G624" t="s">
        <v>37</v>
      </c>
      <c r="H624" t="s">
        <v>22</v>
      </c>
      <c r="I624" t="s">
        <v>23</v>
      </c>
      <c r="J624">
        <v>3</v>
      </c>
      <c r="K624">
        <v>1666.44</v>
      </c>
      <c r="L624">
        <v>435.69</v>
      </c>
    </row>
    <row r="625" spans="1:12" x14ac:dyDescent="0.25">
      <c r="A625">
        <v>10624</v>
      </c>
      <c r="B625" t="s">
        <v>988</v>
      </c>
      <c r="C625" t="s">
        <v>69</v>
      </c>
      <c r="D625" t="s">
        <v>806</v>
      </c>
      <c r="E625" t="s">
        <v>13</v>
      </c>
      <c r="F625" t="s">
        <v>32</v>
      </c>
      <c r="G625" t="s">
        <v>54</v>
      </c>
      <c r="H625" t="s">
        <v>16</v>
      </c>
      <c r="I625" t="s">
        <v>17</v>
      </c>
      <c r="J625">
        <v>1</v>
      </c>
      <c r="K625">
        <v>1520.3</v>
      </c>
      <c r="L625">
        <v>183.68</v>
      </c>
    </row>
    <row r="626" spans="1:12" x14ac:dyDescent="0.25">
      <c r="A626">
        <v>10625</v>
      </c>
      <c r="B626" t="s">
        <v>988</v>
      </c>
      <c r="C626" t="s">
        <v>216</v>
      </c>
      <c r="D626" t="s">
        <v>695</v>
      </c>
      <c r="E626" t="s">
        <v>13</v>
      </c>
      <c r="F626" t="s">
        <v>46</v>
      </c>
      <c r="G626" t="s">
        <v>71</v>
      </c>
      <c r="H626" t="s">
        <v>16</v>
      </c>
      <c r="I626" t="s">
        <v>43</v>
      </c>
      <c r="J626">
        <v>6</v>
      </c>
      <c r="K626">
        <v>4374.97</v>
      </c>
      <c r="L626">
        <v>1054.58</v>
      </c>
    </row>
    <row r="627" spans="1:12" x14ac:dyDescent="0.25">
      <c r="A627">
        <v>10626</v>
      </c>
      <c r="B627" t="s">
        <v>988</v>
      </c>
      <c r="C627" t="s">
        <v>281</v>
      </c>
      <c r="D627" t="s">
        <v>470</v>
      </c>
      <c r="E627" t="s">
        <v>31</v>
      </c>
      <c r="F627" t="s">
        <v>32</v>
      </c>
      <c r="G627" t="s">
        <v>33</v>
      </c>
      <c r="H627" t="s">
        <v>16</v>
      </c>
      <c r="I627" t="s">
        <v>17</v>
      </c>
      <c r="J627">
        <v>3</v>
      </c>
      <c r="K627">
        <v>163.19999999999999</v>
      </c>
      <c r="L627">
        <v>-8</v>
      </c>
    </row>
    <row r="628" spans="1:12" x14ac:dyDescent="0.25">
      <c r="A628">
        <v>10627</v>
      </c>
      <c r="B628" t="s">
        <v>988</v>
      </c>
      <c r="C628" t="s">
        <v>232</v>
      </c>
      <c r="D628" t="s">
        <v>293</v>
      </c>
      <c r="E628" t="s">
        <v>13</v>
      </c>
      <c r="F628" t="s">
        <v>46</v>
      </c>
      <c r="G628" t="s">
        <v>71</v>
      </c>
      <c r="H628" t="s">
        <v>22</v>
      </c>
      <c r="I628" t="s">
        <v>48</v>
      </c>
      <c r="J628">
        <v>4</v>
      </c>
      <c r="K628">
        <v>4174.71</v>
      </c>
      <c r="L628">
        <v>982.7</v>
      </c>
    </row>
    <row r="629" spans="1:12" x14ac:dyDescent="0.25">
      <c r="A629">
        <v>10628</v>
      </c>
      <c r="B629" t="s">
        <v>988</v>
      </c>
      <c r="C629" t="s">
        <v>65</v>
      </c>
      <c r="D629" t="s">
        <v>160</v>
      </c>
      <c r="E629" t="s">
        <v>31</v>
      </c>
      <c r="F629" t="s">
        <v>14</v>
      </c>
      <c r="G629" t="s">
        <v>37</v>
      </c>
      <c r="H629" t="s">
        <v>27</v>
      </c>
      <c r="I629" t="s">
        <v>118</v>
      </c>
      <c r="J629">
        <v>2</v>
      </c>
      <c r="K629">
        <v>4112.34</v>
      </c>
      <c r="L629">
        <v>1107.01</v>
      </c>
    </row>
    <row r="630" spans="1:12" x14ac:dyDescent="0.25">
      <c r="A630">
        <v>10629</v>
      </c>
      <c r="B630" t="s">
        <v>988</v>
      </c>
      <c r="C630" t="s">
        <v>290</v>
      </c>
      <c r="D630" t="s">
        <v>807</v>
      </c>
      <c r="E630" t="s">
        <v>13</v>
      </c>
      <c r="F630" t="s">
        <v>46</v>
      </c>
      <c r="G630" t="s">
        <v>47</v>
      </c>
      <c r="H630" t="s">
        <v>16</v>
      </c>
      <c r="I630" t="s">
        <v>17</v>
      </c>
      <c r="J630">
        <v>3</v>
      </c>
      <c r="K630">
        <v>3578.48</v>
      </c>
      <c r="L630">
        <v>123.2</v>
      </c>
    </row>
    <row r="631" spans="1:12" x14ac:dyDescent="0.25">
      <c r="A631">
        <v>10630</v>
      </c>
      <c r="B631" t="s">
        <v>988</v>
      </c>
      <c r="C631" t="s">
        <v>374</v>
      </c>
      <c r="D631" t="s">
        <v>751</v>
      </c>
      <c r="E631" t="s">
        <v>26</v>
      </c>
      <c r="F631" t="s">
        <v>46</v>
      </c>
      <c r="G631" t="s">
        <v>71</v>
      </c>
      <c r="H631" t="s">
        <v>27</v>
      </c>
      <c r="I631" t="s">
        <v>104</v>
      </c>
      <c r="J631">
        <v>4</v>
      </c>
      <c r="K631">
        <v>738.07</v>
      </c>
      <c r="L631">
        <v>-17.670000000000002</v>
      </c>
    </row>
    <row r="632" spans="1:12" x14ac:dyDescent="0.25">
      <c r="A632">
        <v>10631</v>
      </c>
      <c r="B632" t="s">
        <v>988</v>
      </c>
      <c r="C632" t="s">
        <v>808</v>
      </c>
      <c r="D632" t="s">
        <v>610</v>
      </c>
      <c r="E632" t="s">
        <v>31</v>
      </c>
      <c r="F632" t="s">
        <v>20</v>
      </c>
      <c r="G632" t="s">
        <v>76</v>
      </c>
      <c r="H632" t="s">
        <v>22</v>
      </c>
      <c r="I632" t="s">
        <v>48</v>
      </c>
      <c r="J632">
        <v>2</v>
      </c>
      <c r="K632">
        <v>260.68</v>
      </c>
      <c r="L632">
        <v>-3.29</v>
      </c>
    </row>
    <row r="633" spans="1:12" x14ac:dyDescent="0.25">
      <c r="A633">
        <v>10632</v>
      </c>
      <c r="B633" t="s">
        <v>988</v>
      </c>
      <c r="C633" t="s">
        <v>809</v>
      </c>
      <c r="D633" t="s">
        <v>530</v>
      </c>
      <c r="E633" t="s">
        <v>13</v>
      </c>
      <c r="F633" t="s">
        <v>14</v>
      </c>
      <c r="G633" t="s">
        <v>15</v>
      </c>
      <c r="H633" t="s">
        <v>27</v>
      </c>
      <c r="I633" t="s">
        <v>118</v>
      </c>
      <c r="J633">
        <v>2</v>
      </c>
      <c r="K633">
        <v>3933.62</v>
      </c>
      <c r="L633">
        <v>1080.97</v>
      </c>
    </row>
    <row r="634" spans="1:12" x14ac:dyDescent="0.25">
      <c r="A634">
        <v>10633</v>
      </c>
      <c r="B634" t="s">
        <v>988</v>
      </c>
      <c r="C634" t="s">
        <v>223</v>
      </c>
      <c r="D634" t="s">
        <v>661</v>
      </c>
      <c r="E634" t="s">
        <v>13</v>
      </c>
      <c r="F634" t="s">
        <v>32</v>
      </c>
      <c r="G634" t="s">
        <v>33</v>
      </c>
      <c r="H634" t="s">
        <v>22</v>
      </c>
      <c r="I634" t="s">
        <v>48</v>
      </c>
      <c r="J634">
        <v>5</v>
      </c>
      <c r="K634">
        <v>4749.08</v>
      </c>
      <c r="L634">
        <v>634.37</v>
      </c>
    </row>
    <row r="635" spans="1:12" x14ac:dyDescent="0.25">
      <c r="A635">
        <v>10634</v>
      </c>
      <c r="B635" t="s">
        <v>988</v>
      </c>
      <c r="C635" t="s">
        <v>114</v>
      </c>
      <c r="D635" t="s">
        <v>568</v>
      </c>
      <c r="E635" t="s">
        <v>13</v>
      </c>
      <c r="F635" t="s">
        <v>46</v>
      </c>
      <c r="G635" t="s">
        <v>71</v>
      </c>
      <c r="H635" t="s">
        <v>22</v>
      </c>
      <c r="I635" t="s">
        <v>23</v>
      </c>
      <c r="J635">
        <v>4</v>
      </c>
      <c r="K635">
        <v>3607.48</v>
      </c>
      <c r="L635">
        <v>1032.8399999999999</v>
      </c>
    </row>
    <row r="636" spans="1:12" x14ac:dyDescent="0.25">
      <c r="A636">
        <v>10635</v>
      </c>
      <c r="B636" t="s">
        <v>988</v>
      </c>
      <c r="C636" t="s">
        <v>433</v>
      </c>
      <c r="D636" t="s">
        <v>254</v>
      </c>
      <c r="E636" t="s">
        <v>31</v>
      </c>
      <c r="F636" t="s">
        <v>14</v>
      </c>
      <c r="G636" t="s">
        <v>15</v>
      </c>
      <c r="H636" t="s">
        <v>16</v>
      </c>
      <c r="I636" t="s">
        <v>51</v>
      </c>
      <c r="J636">
        <v>6</v>
      </c>
      <c r="K636">
        <v>3520.85</v>
      </c>
      <c r="L636">
        <v>271.64</v>
      </c>
    </row>
    <row r="637" spans="1:12" x14ac:dyDescent="0.25">
      <c r="A637">
        <v>10636</v>
      </c>
      <c r="B637" t="s">
        <v>988</v>
      </c>
      <c r="C637" t="s">
        <v>671</v>
      </c>
      <c r="D637" t="s">
        <v>810</v>
      </c>
      <c r="E637" t="s">
        <v>26</v>
      </c>
      <c r="F637" t="s">
        <v>20</v>
      </c>
      <c r="G637" t="s">
        <v>76</v>
      </c>
      <c r="H637" t="s">
        <v>22</v>
      </c>
      <c r="I637" t="s">
        <v>48</v>
      </c>
      <c r="J637">
        <v>7</v>
      </c>
      <c r="K637">
        <v>652.94000000000005</v>
      </c>
      <c r="L637">
        <v>181.01</v>
      </c>
    </row>
    <row r="638" spans="1:12" x14ac:dyDescent="0.25">
      <c r="A638">
        <v>10637</v>
      </c>
      <c r="B638" t="s">
        <v>988</v>
      </c>
      <c r="C638" t="s">
        <v>197</v>
      </c>
      <c r="D638" t="s">
        <v>811</v>
      </c>
      <c r="E638" t="s">
        <v>13</v>
      </c>
      <c r="F638" t="s">
        <v>20</v>
      </c>
      <c r="G638" t="s">
        <v>76</v>
      </c>
      <c r="H638" t="s">
        <v>16</v>
      </c>
      <c r="I638" t="s">
        <v>17</v>
      </c>
      <c r="J638">
        <v>1</v>
      </c>
      <c r="K638">
        <v>503.01</v>
      </c>
      <c r="L638">
        <v>48.76</v>
      </c>
    </row>
    <row r="639" spans="1:12" x14ac:dyDescent="0.25">
      <c r="A639">
        <v>10638</v>
      </c>
      <c r="B639" t="s">
        <v>988</v>
      </c>
      <c r="C639" t="s">
        <v>124</v>
      </c>
      <c r="D639" t="s">
        <v>812</v>
      </c>
      <c r="E639" t="s">
        <v>31</v>
      </c>
      <c r="F639" t="s">
        <v>32</v>
      </c>
      <c r="G639" t="s">
        <v>54</v>
      </c>
      <c r="H639" t="s">
        <v>22</v>
      </c>
      <c r="I639" t="s">
        <v>34</v>
      </c>
      <c r="J639">
        <v>5</v>
      </c>
      <c r="K639">
        <v>4926.32</v>
      </c>
      <c r="L639">
        <v>687.71</v>
      </c>
    </row>
    <row r="640" spans="1:12" x14ac:dyDescent="0.25">
      <c r="A640">
        <v>10639</v>
      </c>
      <c r="B640" t="s">
        <v>988</v>
      </c>
      <c r="C640" t="s">
        <v>163</v>
      </c>
      <c r="D640" t="s">
        <v>564</v>
      </c>
      <c r="E640" t="s">
        <v>31</v>
      </c>
      <c r="F640" t="s">
        <v>46</v>
      </c>
      <c r="G640" t="s">
        <v>71</v>
      </c>
      <c r="H640" t="s">
        <v>16</v>
      </c>
      <c r="I640" t="s">
        <v>51</v>
      </c>
      <c r="J640">
        <v>2</v>
      </c>
      <c r="K640">
        <v>2042.21</v>
      </c>
      <c r="L640">
        <v>301.31</v>
      </c>
    </row>
    <row r="641" spans="1:12" x14ac:dyDescent="0.25">
      <c r="A641">
        <v>10640</v>
      </c>
      <c r="B641" t="s">
        <v>988</v>
      </c>
      <c r="C641" t="s">
        <v>189</v>
      </c>
      <c r="D641" t="s">
        <v>502</v>
      </c>
      <c r="E641" t="s">
        <v>26</v>
      </c>
      <c r="F641" t="s">
        <v>20</v>
      </c>
      <c r="G641" t="s">
        <v>21</v>
      </c>
      <c r="H641" t="s">
        <v>16</v>
      </c>
      <c r="I641" t="s">
        <v>43</v>
      </c>
      <c r="J641">
        <v>2</v>
      </c>
      <c r="K641">
        <v>1882.18</v>
      </c>
      <c r="L641">
        <v>167.76</v>
      </c>
    </row>
    <row r="642" spans="1:12" x14ac:dyDescent="0.25">
      <c r="A642">
        <v>10641</v>
      </c>
      <c r="B642" t="s">
        <v>988</v>
      </c>
      <c r="C642" t="s">
        <v>281</v>
      </c>
      <c r="D642" t="s">
        <v>575</v>
      </c>
      <c r="E642" t="s">
        <v>31</v>
      </c>
      <c r="F642" t="s">
        <v>20</v>
      </c>
      <c r="G642" t="s">
        <v>76</v>
      </c>
      <c r="H642" t="s">
        <v>27</v>
      </c>
      <c r="I642" t="s">
        <v>28</v>
      </c>
      <c r="J642">
        <v>7</v>
      </c>
      <c r="K642">
        <v>1844.88</v>
      </c>
      <c r="L642">
        <v>304.70999999999998</v>
      </c>
    </row>
    <row r="643" spans="1:12" x14ac:dyDescent="0.25">
      <c r="A643">
        <v>10642</v>
      </c>
      <c r="B643" t="s">
        <v>988</v>
      </c>
      <c r="C643" t="s">
        <v>698</v>
      </c>
      <c r="D643" t="s">
        <v>813</v>
      </c>
      <c r="E643" t="s">
        <v>13</v>
      </c>
      <c r="F643" t="s">
        <v>46</v>
      </c>
      <c r="G643" t="s">
        <v>47</v>
      </c>
      <c r="H643" t="s">
        <v>22</v>
      </c>
      <c r="I643" t="s">
        <v>23</v>
      </c>
      <c r="J643">
        <v>5</v>
      </c>
      <c r="K643">
        <v>2497.77</v>
      </c>
      <c r="L643">
        <v>174.78</v>
      </c>
    </row>
    <row r="644" spans="1:12" x14ac:dyDescent="0.25">
      <c r="A644">
        <v>10643</v>
      </c>
      <c r="B644" t="s">
        <v>988</v>
      </c>
      <c r="C644" t="s">
        <v>694</v>
      </c>
      <c r="D644" t="s">
        <v>814</v>
      </c>
      <c r="E644" t="s">
        <v>26</v>
      </c>
      <c r="F644" t="s">
        <v>14</v>
      </c>
      <c r="G644" t="s">
        <v>15</v>
      </c>
      <c r="H644" t="s">
        <v>27</v>
      </c>
      <c r="I644" t="s">
        <v>118</v>
      </c>
      <c r="J644">
        <v>3</v>
      </c>
      <c r="K644">
        <v>1974.9</v>
      </c>
      <c r="L644">
        <v>418.81</v>
      </c>
    </row>
    <row r="645" spans="1:12" x14ac:dyDescent="0.25">
      <c r="A645">
        <v>10644</v>
      </c>
      <c r="B645" t="s">
        <v>988</v>
      </c>
      <c r="C645" t="s">
        <v>274</v>
      </c>
      <c r="D645" t="s">
        <v>384</v>
      </c>
      <c r="E645" t="s">
        <v>13</v>
      </c>
      <c r="F645" t="s">
        <v>14</v>
      </c>
      <c r="G645" t="s">
        <v>37</v>
      </c>
      <c r="H645" t="s">
        <v>27</v>
      </c>
      <c r="I645" t="s">
        <v>104</v>
      </c>
      <c r="J645">
        <v>5</v>
      </c>
      <c r="K645">
        <v>3344.26</v>
      </c>
      <c r="L645">
        <v>550.92999999999995</v>
      </c>
    </row>
    <row r="646" spans="1:12" x14ac:dyDescent="0.25">
      <c r="A646">
        <v>10645</v>
      </c>
      <c r="B646" t="s">
        <v>988</v>
      </c>
      <c r="C646" t="s">
        <v>362</v>
      </c>
      <c r="D646" t="s">
        <v>815</v>
      </c>
      <c r="E646" t="s">
        <v>26</v>
      </c>
      <c r="F646" t="s">
        <v>14</v>
      </c>
      <c r="G646" t="s">
        <v>15</v>
      </c>
      <c r="H646" t="s">
        <v>27</v>
      </c>
      <c r="I646" t="s">
        <v>118</v>
      </c>
      <c r="J646">
        <v>7</v>
      </c>
      <c r="K646">
        <v>2305.5700000000002</v>
      </c>
      <c r="L646">
        <v>562.61</v>
      </c>
    </row>
    <row r="647" spans="1:12" x14ac:dyDescent="0.25">
      <c r="A647">
        <v>10646</v>
      </c>
      <c r="B647" t="s">
        <v>988</v>
      </c>
      <c r="C647" t="s">
        <v>475</v>
      </c>
      <c r="D647" t="s">
        <v>816</v>
      </c>
      <c r="E647" t="s">
        <v>31</v>
      </c>
      <c r="F647" t="s">
        <v>32</v>
      </c>
      <c r="G647" t="s">
        <v>33</v>
      </c>
      <c r="H647" t="s">
        <v>27</v>
      </c>
      <c r="I647" t="s">
        <v>77</v>
      </c>
      <c r="J647">
        <v>3</v>
      </c>
      <c r="K647">
        <v>1631.05</v>
      </c>
      <c r="L647">
        <v>163.80000000000001</v>
      </c>
    </row>
    <row r="648" spans="1:12" x14ac:dyDescent="0.25">
      <c r="A648">
        <v>10647</v>
      </c>
      <c r="B648" t="s">
        <v>988</v>
      </c>
      <c r="C648" t="s">
        <v>336</v>
      </c>
      <c r="D648" t="s">
        <v>729</v>
      </c>
      <c r="E648" t="s">
        <v>31</v>
      </c>
      <c r="F648" t="s">
        <v>20</v>
      </c>
      <c r="G648" t="s">
        <v>76</v>
      </c>
      <c r="H648" t="s">
        <v>16</v>
      </c>
      <c r="I648" t="s">
        <v>43</v>
      </c>
      <c r="J648">
        <v>1</v>
      </c>
      <c r="K648">
        <v>2017.79</v>
      </c>
      <c r="L648">
        <v>253.35</v>
      </c>
    </row>
    <row r="649" spans="1:12" x14ac:dyDescent="0.25">
      <c r="A649">
        <v>10648</v>
      </c>
      <c r="B649" t="s">
        <v>988</v>
      </c>
      <c r="C649" t="s">
        <v>817</v>
      </c>
      <c r="D649" t="s">
        <v>472</v>
      </c>
      <c r="E649" t="s">
        <v>13</v>
      </c>
      <c r="F649" t="s">
        <v>32</v>
      </c>
      <c r="G649" t="s">
        <v>54</v>
      </c>
      <c r="H649" t="s">
        <v>22</v>
      </c>
      <c r="I649" t="s">
        <v>23</v>
      </c>
      <c r="J649">
        <v>1</v>
      </c>
      <c r="K649">
        <v>728.17</v>
      </c>
      <c r="L649">
        <v>22.16</v>
      </c>
    </row>
    <row r="650" spans="1:12" x14ac:dyDescent="0.25">
      <c r="A650">
        <v>10649</v>
      </c>
      <c r="B650" t="s">
        <v>988</v>
      </c>
      <c r="C650" t="s">
        <v>92</v>
      </c>
      <c r="D650" t="s">
        <v>818</v>
      </c>
      <c r="E650" t="s">
        <v>26</v>
      </c>
      <c r="F650" t="s">
        <v>32</v>
      </c>
      <c r="G650" t="s">
        <v>54</v>
      </c>
      <c r="H650" t="s">
        <v>22</v>
      </c>
      <c r="I650" t="s">
        <v>34</v>
      </c>
      <c r="J650">
        <v>6</v>
      </c>
      <c r="K650">
        <v>4960.53</v>
      </c>
      <c r="L650">
        <v>753.23</v>
      </c>
    </row>
    <row r="651" spans="1:12" x14ac:dyDescent="0.25">
      <c r="A651">
        <v>10650</v>
      </c>
      <c r="B651" t="s">
        <v>988</v>
      </c>
      <c r="C651" t="s">
        <v>107</v>
      </c>
      <c r="D651" t="s">
        <v>265</v>
      </c>
      <c r="E651" t="s">
        <v>13</v>
      </c>
      <c r="F651" t="s">
        <v>32</v>
      </c>
      <c r="G651" t="s">
        <v>33</v>
      </c>
      <c r="H651" t="s">
        <v>16</v>
      </c>
      <c r="I651" t="s">
        <v>81</v>
      </c>
      <c r="J651">
        <v>5</v>
      </c>
      <c r="K651">
        <v>660.91</v>
      </c>
      <c r="L651">
        <v>7.26</v>
      </c>
    </row>
    <row r="652" spans="1:12" x14ac:dyDescent="0.25">
      <c r="A652">
        <v>10651</v>
      </c>
      <c r="B652" t="s">
        <v>988</v>
      </c>
      <c r="C652" t="s">
        <v>819</v>
      </c>
      <c r="D652" t="s">
        <v>820</v>
      </c>
      <c r="E652" t="s">
        <v>13</v>
      </c>
      <c r="F652" t="s">
        <v>20</v>
      </c>
      <c r="G652" t="s">
        <v>76</v>
      </c>
      <c r="H652" t="s">
        <v>27</v>
      </c>
      <c r="I652" t="s">
        <v>118</v>
      </c>
      <c r="J652">
        <v>8</v>
      </c>
      <c r="K652">
        <v>2981.15</v>
      </c>
      <c r="L652">
        <v>845.96</v>
      </c>
    </row>
    <row r="653" spans="1:12" x14ac:dyDescent="0.25">
      <c r="A653">
        <v>10652</v>
      </c>
      <c r="B653" t="s">
        <v>988</v>
      </c>
      <c r="C653" t="s">
        <v>706</v>
      </c>
      <c r="D653" t="s">
        <v>821</v>
      </c>
      <c r="E653" t="s">
        <v>31</v>
      </c>
      <c r="F653" t="s">
        <v>14</v>
      </c>
      <c r="G653" t="s">
        <v>37</v>
      </c>
      <c r="H653" t="s">
        <v>22</v>
      </c>
      <c r="I653" t="s">
        <v>48</v>
      </c>
      <c r="J653">
        <v>6</v>
      </c>
      <c r="K653">
        <v>2533.98</v>
      </c>
      <c r="L653">
        <v>574.01</v>
      </c>
    </row>
    <row r="654" spans="1:12" x14ac:dyDescent="0.25">
      <c r="A654">
        <v>10653</v>
      </c>
      <c r="B654" t="s">
        <v>988</v>
      </c>
      <c r="C654" t="s">
        <v>791</v>
      </c>
      <c r="D654" t="s">
        <v>822</v>
      </c>
      <c r="E654" t="s">
        <v>13</v>
      </c>
      <c r="F654" t="s">
        <v>32</v>
      </c>
      <c r="G654" t="s">
        <v>54</v>
      </c>
      <c r="H654" t="s">
        <v>22</v>
      </c>
      <c r="I654" t="s">
        <v>34</v>
      </c>
      <c r="J654">
        <v>2</v>
      </c>
      <c r="K654">
        <v>4217.8599999999997</v>
      </c>
      <c r="L654">
        <v>747.18</v>
      </c>
    </row>
    <row r="655" spans="1:12" x14ac:dyDescent="0.25">
      <c r="A655">
        <v>10654</v>
      </c>
      <c r="B655" t="s">
        <v>988</v>
      </c>
      <c r="C655" t="s">
        <v>59</v>
      </c>
      <c r="D655" t="s">
        <v>64</v>
      </c>
      <c r="E655" t="s">
        <v>31</v>
      </c>
      <c r="F655" t="s">
        <v>20</v>
      </c>
      <c r="G655" t="s">
        <v>21</v>
      </c>
      <c r="H655" t="s">
        <v>16</v>
      </c>
      <c r="I655" t="s">
        <v>81</v>
      </c>
      <c r="J655">
        <v>2</v>
      </c>
      <c r="K655">
        <v>3000.14</v>
      </c>
      <c r="L655">
        <v>298.39999999999998</v>
      </c>
    </row>
    <row r="656" spans="1:12" x14ac:dyDescent="0.25">
      <c r="A656">
        <v>10655</v>
      </c>
      <c r="B656" t="s">
        <v>988</v>
      </c>
      <c r="C656" t="s">
        <v>490</v>
      </c>
      <c r="D656" t="s">
        <v>758</v>
      </c>
      <c r="E656" t="s">
        <v>13</v>
      </c>
      <c r="F656" t="s">
        <v>46</v>
      </c>
      <c r="G656" t="s">
        <v>47</v>
      </c>
      <c r="H656" t="s">
        <v>22</v>
      </c>
      <c r="I656" t="s">
        <v>38</v>
      </c>
      <c r="J656">
        <v>5</v>
      </c>
      <c r="K656">
        <v>2221.2600000000002</v>
      </c>
      <c r="L656">
        <v>390.9</v>
      </c>
    </row>
    <row r="657" spans="1:12" x14ac:dyDescent="0.25">
      <c r="A657">
        <v>10656</v>
      </c>
      <c r="B657" t="s">
        <v>988</v>
      </c>
      <c r="C657" t="s">
        <v>55</v>
      </c>
      <c r="D657" t="s">
        <v>823</v>
      </c>
      <c r="E657" t="s">
        <v>13</v>
      </c>
      <c r="F657" t="s">
        <v>20</v>
      </c>
      <c r="G657" t="s">
        <v>21</v>
      </c>
      <c r="H657" t="s">
        <v>22</v>
      </c>
      <c r="I657" t="s">
        <v>48</v>
      </c>
      <c r="J657">
        <v>8</v>
      </c>
      <c r="K657">
        <v>1143.47</v>
      </c>
      <c r="L657">
        <v>257.99</v>
      </c>
    </row>
    <row r="658" spans="1:12" x14ac:dyDescent="0.25">
      <c r="A658">
        <v>10657</v>
      </c>
      <c r="B658" t="s">
        <v>988</v>
      </c>
      <c r="C658" t="s">
        <v>116</v>
      </c>
      <c r="D658" t="s">
        <v>824</v>
      </c>
      <c r="E658" t="s">
        <v>31</v>
      </c>
      <c r="F658" t="s">
        <v>20</v>
      </c>
      <c r="G658" t="s">
        <v>21</v>
      </c>
      <c r="H658" t="s">
        <v>16</v>
      </c>
      <c r="I658" t="s">
        <v>43</v>
      </c>
      <c r="J658">
        <v>6</v>
      </c>
      <c r="K658">
        <v>2366.1799999999998</v>
      </c>
      <c r="L658">
        <v>185.86</v>
      </c>
    </row>
    <row r="659" spans="1:12" x14ac:dyDescent="0.25">
      <c r="A659">
        <v>10658</v>
      </c>
      <c r="B659" t="s">
        <v>988</v>
      </c>
      <c r="C659" t="s">
        <v>96</v>
      </c>
      <c r="D659" t="s">
        <v>825</v>
      </c>
      <c r="E659" t="s">
        <v>26</v>
      </c>
      <c r="F659" t="s">
        <v>20</v>
      </c>
      <c r="G659" t="s">
        <v>76</v>
      </c>
      <c r="H659" t="s">
        <v>22</v>
      </c>
      <c r="I659" t="s">
        <v>48</v>
      </c>
      <c r="J659">
        <v>7</v>
      </c>
      <c r="K659">
        <v>1407.98</v>
      </c>
      <c r="L659">
        <v>155.38</v>
      </c>
    </row>
    <row r="660" spans="1:12" x14ac:dyDescent="0.25">
      <c r="A660">
        <v>10659</v>
      </c>
      <c r="B660" t="s">
        <v>988</v>
      </c>
      <c r="C660" t="s">
        <v>281</v>
      </c>
      <c r="D660" t="s">
        <v>826</v>
      </c>
      <c r="E660" t="s">
        <v>31</v>
      </c>
      <c r="F660" t="s">
        <v>20</v>
      </c>
      <c r="G660" t="s">
        <v>21</v>
      </c>
      <c r="H660" t="s">
        <v>22</v>
      </c>
      <c r="I660" t="s">
        <v>48</v>
      </c>
      <c r="J660">
        <v>4</v>
      </c>
      <c r="K660">
        <v>235.75</v>
      </c>
      <c r="L660">
        <v>27.71</v>
      </c>
    </row>
    <row r="661" spans="1:12" x14ac:dyDescent="0.25">
      <c r="A661">
        <v>10660</v>
      </c>
      <c r="B661" t="s">
        <v>988</v>
      </c>
      <c r="C661" t="s">
        <v>63</v>
      </c>
      <c r="D661" t="s">
        <v>827</v>
      </c>
      <c r="E661" t="s">
        <v>26</v>
      </c>
      <c r="F661" t="s">
        <v>20</v>
      </c>
      <c r="G661" t="s">
        <v>21</v>
      </c>
      <c r="H661" t="s">
        <v>22</v>
      </c>
      <c r="I661" t="s">
        <v>48</v>
      </c>
      <c r="J661">
        <v>5</v>
      </c>
      <c r="K661">
        <v>768.51</v>
      </c>
      <c r="L661">
        <v>7.72</v>
      </c>
    </row>
    <row r="662" spans="1:12" x14ac:dyDescent="0.25">
      <c r="A662">
        <v>10661</v>
      </c>
      <c r="B662" t="s">
        <v>988</v>
      </c>
      <c r="C662" t="s">
        <v>134</v>
      </c>
      <c r="D662" t="s">
        <v>828</v>
      </c>
      <c r="E662" t="s">
        <v>13</v>
      </c>
      <c r="F662" t="s">
        <v>14</v>
      </c>
      <c r="G662" t="s">
        <v>37</v>
      </c>
      <c r="H662" t="s">
        <v>22</v>
      </c>
      <c r="I662" t="s">
        <v>23</v>
      </c>
      <c r="J662">
        <v>2</v>
      </c>
      <c r="K662">
        <v>1638.13</v>
      </c>
      <c r="L662">
        <v>197.58</v>
      </c>
    </row>
    <row r="663" spans="1:12" x14ac:dyDescent="0.25">
      <c r="A663">
        <v>10662</v>
      </c>
      <c r="B663" t="s">
        <v>988</v>
      </c>
      <c r="C663" t="s">
        <v>88</v>
      </c>
      <c r="D663" t="s">
        <v>829</v>
      </c>
      <c r="E663" t="s">
        <v>13</v>
      </c>
      <c r="F663" t="s">
        <v>14</v>
      </c>
      <c r="G663" t="s">
        <v>37</v>
      </c>
      <c r="H663" t="s">
        <v>16</v>
      </c>
      <c r="I663" t="s">
        <v>43</v>
      </c>
      <c r="J663">
        <v>4</v>
      </c>
      <c r="K663">
        <v>648.47</v>
      </c>
      <c r="L663">
        <v>58.2</v>
      </c>
    </row>
    <row r="664" spans="1:12" x14ac:dyDescent="0.25">
      <c r="A664">
        <v>10663</v>
      </c>
      <c r="B664" t="s">
        <v>988</v>
      </c>
      <c r="C664" t="s">
        <v>819</v>
      </c>
      <c r="D664" t="s">
        <v>830</v>
      </c>
      <c r="E664" t="s">
        <v>13</v>
      </c>
      <c r="F664" t="s">
        <v>32</v>
      </c>
      <c r="G664" t="s">
        <v>54</v>
      </c>
      <c r="H664" t="s">
        <v>22</v>
      </c>
      <c r="I664" t="s">
        <v>48</v>
      </c>
      <c r="J664">
        <v>2</v>
      </c>
      <c r="K664">
        <v>3888.64</v>
      </c>
      <c r="L664">
        <v>415.88</v>
      </c>
    </row>
    <row r="665" spans="1:12" x14ac:dyDescent="0.25">
      <c r="A665">
        <v>10664</v>
      </c>
      <c r="B665" t="s">
        <v>988</v>
      </c>
      <c r="C665" t="s">
        <v>486</v>
      </c>
      <c r="D665" t="s">
        <v>712</v>
      </c>
      <c r="E665" t="s">
        <v>13</v>
      </c>
      <c r="F665" t="s">
        <v>46</v>
      </c>
      <c r="G665" t="s">
        <v>47</v>
      </c>
      <c r="H665" t="s">
        <v>22</v>
      </c>
      <c r="I665" t="s">
        <v>48</v>
      </c>
      <c r="J665">
        <v>2</v>
      </c>
      <c r="K665">
        <v>958.26</v>
      </c>
      <c r="L665">
        <v>236.33</v>
      </c>
    </row>
    <row r="666" spans="1:12" x14ac:dyDescent="0.25">
      <c r="A666">
        <v>10665</v>
      </c>
      <c r="B666" t="s">
        <v>988</v>
      </c>
      <c r="C666" t="s">
        <v>24</v>
      </c>
      <c r="D666" t="s">
        <v>831</v>
      </c>
      <c r="E666" t="s">
        <v>26</v>
      </c>
      <c r="F666" t="s">
        <v>14</v>
      </c>
      <c r="G666" t="s">
        <v>37</v>
      </c>
      <c r="H666" t="s">
        <v>16</v>
      </c>
      <c r="I666" t="s">
        <v>17</v>
      </c>
      <c r="J666">
        <v>2</v>
      </c>
      <c r="K666">
        <v>1650.8</v>
      </c>
      <c r="L666">
        <v>189.16</v>
      </c>
    </row>
    <row r="667" spans="1:12" x14ac:dyDescent="0.25">
      <c r="A667">
        <v>10666</v>
      </c>
      <c r="B667" t="s">
        <v>988</v>
      </c>
      <c r="C667" t="s">
        <v>832</v>
      </c>
      <c r="D667" t="s">
        <v>724</v>
      </c>
      <c r="E667" t="s">
        <v>26</v>
      </c>
      <c r="F667" t="s">
        <v>32</v>
      </c>
      <c r="G667" t="s">
        <v>54</v>
      </c>
      <c r="H667" t="s">
        <v>16</v>
      </c>
      <c r="I667" t="s">
        <v>17</v>
      </c>
      <c r="J667">
        <v>5</v>
      </c>
      <c r="K667">
        <v>203.26</v>
      </c>
      <c r="L667">
        <v>-1.29</v>
      </c>
    </row>
    <row r="668" spans="1:12" x14ac:dyDescent="0.25">
      <c r="A668">
        <v>10667</v>
      </c>
      <c r="B668" t="s">
        <v>988</v>
      </c>
      <c r="C668" t="s">
        <v>279</v>
      </c>
      <c r="D668" t="s">
        <v>764</v>
      </c>
      <c r="E668" t="s">
        <v>13</v>
      </c>
      <c r="F668" t="s">
        <v>46</v>
      </c>
      <c r="G668" t="s">
        <v>47</v>
      </c>
      <c r="H668" t="s">
        <v>16</v>
      </c>
      <c r="I668" t="s">
        <v>51</v>
      </c>
      <c r="J668">
        <v>5</v>
      </c>
      <c r="K668">
        <v>3230.85</v>
      </c>
      <c r="L668">
        <v>637.12</v>
      </c>
    </row>
    <row r="669" spans="1:12" x14ac:dyDescent="0.25">
      <c r="A669">
        <v>10668</v>
      </c>
      <c r="B669" t="s">
        <v>988</v>
      </c>
      <c r="C669" t="s">
        <v>577</v>
      </c>
      <c r="D669" t="s">
        <v>822</v>
      </c>
      <c r="E669" t="s">
        <v>26</v>
      </c>
      <c r="F669" t="s">
        <v>46</v>
      </c>
      <c r="G669" t="s">
        <v>47</v>
      </c>
      <c r="H669" t="s">
        <v>27</v>
      </c>
      <c r="I669" t="s">
        <v>118</v>
      </c>
      <c r="J669">
        <v>7</v>
      </c>
      <c r="K669">
        <v>4644.79</v>
      </c>
      <c r="L669">
        <v>1268.04</v>
      </c>
    </row>
    <row r="670" spans="1:12" x14ac:dyDescent="0.25">
      <c r="A670">
        <v>10669</v>
      </c>
      <c r="B670" t="s">
        <v>988</v>
      </c>
      <c r="C670" t="s">
        <v>586</v>
      </c>
      <c r="D670" t="s">
        <v>693</v>
      </c>
      <c r="E670" t="s">
        <v>13</v>
      </c>
      <c r="F670" t="s">
        <v>46</v>
      </c>
      <c r="G670" t="s">
        <v>47</v>
      </c>
      <c r="H670" t="s">
        <v>16</v>
      </c>
      <c r="I670" t="s">
        <v>17</v>
      </c>
      <c r="J670">
        <v>7</v>
      </c>
      <c r="K670">
        <v>3967.66</v>
      </c>
      <c r="L670">
        <v>462.19</v>
      </c>
    </row>
    <row r="671" spans="1:12" x14ac:dyDescent="0.25">
      <c r="A671">
        <v>10670</v>
      </c>
      <c r="B671" t="s">
        <v>988</v>
      </c>
      <c r="C671" t="s">
        <v>685</v>
      </c>
      <c r="D671" t="s">
        <v>476</v>
      </c>
      <c r="E671" t="s">
        <v>13</v>
      </c>
      <c r="F671" t="s">
        <v>20</v>
      </c>
      <c r="G671" t="s">
        <v>76</v>
      </c>
      <c r="H671" t="s">
        <v>16</v>
      </c>
      <c r="I671" t="s">
        <v>51</v>
      </c>
      <c r="J671">
        <v>2</v>
      </c>
      <c r="K671">
        <v>4139.5600000000004</v>
      </c>
      <c r="L671">
        <v>879.2</v>
      </c>
    </row>
    <row r="672" spans="1:12" x14ac:dyDescent="0.25">
      <c r="A672">
        <v>10671</v>
      </c>
      <c r="B672" t="s">
        <v>988</v>
      </c>
      <c r="C672" t="s">
        <v>330</v>
      </c>
      <c r="D672" t="s">
        <v>611</v>
      </c>
      <c r="E672" t="s">
        <v>26</v>
      </c>
      <c r="F672" t="s">
        <v>32</v>
      </c>
      <c r="G672" t="s">
        <v>54</v>
      </c>
      <c r="H672" t="s">
        <v>16</v>
      </c>
      <c r="I672" t="s">
        <v>81</v>
      </c>
      <c r="J672">
        <v>1</v>
      </c>
      <c r="K672">
        <v>3242.73</v>
      </c>
      <c r="L672">
        <v>266.75</v>
      </c>
    </row>
    <row r="673" spans="1:12" x14ac:dyDescent="0.25">
      <c r="A673">
        <v>10672</v>
      </c>
      <c r="B673" t="s">
        <v>988</v>
      </c>
      <c r="C673" t="s">
        <v>18</v>
      </c>
      <c r="D673" t="s">
        <v>175</v>
      </c>
      <c r="E673" t="s">
        <v>26</v>
      </c>
      <c r="F673" t="s">
        <v>20</v>
      </c>
      <c r="G673" t="s">
        <v>21</v>
      </c>
      <c r="H673" t="s">
        <v>16</v>
      </c>
      <c r="I673" t="s">
        <v>17</v>
      </c>
      <c r="J673">
        <v>6</v>
      </c>
      <c r="K673">
        <v>2921.47</v>
      </c>
      <c r="L673">
        <v>202.06</v>
      </c>
    </row>
    <row r="674" spans="1:12" x14ac:dyDescent="0.25">
      <c r="A674">
        <v>10673</v>
      </c>
      <c r="B674" t="s">
        <v>988</v>
      </c>
      <c r="C674" t="s">
        <v>276</v>
      </c>
      <c r="D674" t="s">
        <v>217</v>
      </c>
      <c r="E674" t="s">
        <v>26</v>
      </c>
      <c r="F674" t="s">
        <v>20</v>
      </c>
      <c r="G674" t="s">
        <v>76</v>
      </c>
      <c r="H674" t="s">
        <v>27</v>
      </c>
      <c r="I674" t="s">
        <v>77</v>
      </c>
      <c r="J674">
        <v>3</v>
      </c>
      <c r="K674">
        <v>1377.33</v>
      </c>
      <c r="L674">
        <v>222.91</v>
      </c>
    </row>
    <row r="675" spans="1:12" x14ac:dyDescent="0.25">
      <c r="A675">
        <v>10674</v>
      </c>
      <c r="B675" t="s">
        <v>988</v>
      </c>
      <c r="C675" t="s">
        <v>627</v>
      </c>
      <c r="D675" t="s">
        <v>705</v>
      </c>
      <c r="E675" t="s">
        <v>13</v>
      </c>
      <c r="F675" t="s">
        <v>20</v>
      </c>
      <c r="G675" t="s">
        <v>76</v>
      </c>
      <c r="H675" t="s">
        <v>22</v>
      </c>
      <c r="I675" t="s">
        <v>34</v>
      </c>
      <c r="J675">
        <v>7</v>
      </c>
      <c r="K675">
        <v>4729.3100000000004</v>
      </c>
      <c r="L675">
        <v>1259.5999999999999</v>
      </c>
    </row>
    <row r="676" spans="1:12" x14ac:dyDescent="0.25">
      <c r="A676">
        <v>10675</v>
      </c>
      <c r="B676" t="s">
        <v>988</v>
      </c>
      <c r="C676" t="s">
        <v>142</v>
      </c>
      <c r="D676" t="s">
        <v>811</v>
      </c>
      <c r="E676" t="s">
        <v>31</v>
      </c>
      <c r="F676" t="s">
        <v>46</v>
      </c>
      <c r="G676" t="s">
        <v>71</v>
      </c>
      <c r="H676" t="s">
        <v>27</v>
      </c>
      <c r="I676" t="s">
        <v>104</v>
      </c>
      <c r="J676">
        <v>5</v>
      </c>
      <c r="K676">
        <v>3536.18</v>
      </c>
      <c r="L676">
        <v>285.89</v>
      </c>
    </row>
    <row r="677" spans="1:12" x14ac:dyDescent="0.25">
      <c r="A677">
        <v>10676</v>
      </c>
      <c r="B677" t="s">
        <v>988</v>
      </c>
      <c r="C677" t="s">
        <v>245</v>
      </c>
      <c r="D677" t="s">
        <v>631</v>
      </c>
      <c r="E677" t="s">
        <v>13</v>
      </c>
      <c r="F677" t="s">
        <v>46</v>
      </c>
      <c r="G677" t="s">
        <v>71</v>
      </c>
      <c r="H677" t="s">
        <v>27</v>
      </c>
      <c r="I677" t="s">
        <v>104</v>
      </c>
      <c r="J677">
        <v>2</v>
      </c>
      <c r="K677">
        <v>169.16</v>
      </c>
      <c r="L677">
        <v>-46.64</v>
      </c>
    </row>
    <row r="678" spans="1:12" x14ac:dyDescent="0.25">
      <c r="A678">
        <v>10677</v>
      </c>
      <c r="B678" t="s">
        <v>988</v>
      </c>
      <c r="C678" t="s">
        <v>339</v>
      </c>
      <c r="D678" t="s">
        <v>833</v>
      </c>
      <c r="E678" t="s">
        <v>26</v>
      </c>
      <c r="F678" t="s">
        <v>20</v>
      </c>
      <c r="G678" t="s">
        <v>21</v>
      </c>
      <c r="H678" t="s">
        <v>22</v>
      </c>
      <c r="I678" t="s">
        <v>48</v>
      </c>
      <c r="J678">
        <v>4</v>
      </c>
      <c r="K678">
        <v>4735.66</v>
      </c>
      <c r="L678">
        <v>1173.17</v>
      </c>
    </row>
    <row r="679" spans="1:12" x14ac:dyDescent="0.25">
      <c r="A679">
        <v>10678</v>
      </c>
      <c r="B679" t="s">
        <v>988</v>
      </c>
      <c r="C679" t="s">
        <v>620</v>
      </c>
      <c r="D679" t="s">
        <v>834</v>
      </c>
      <c r="E679" t="s">
        <v>31</v>
      </c>
      <c r="F679" t="s">
        <v>20</v>
      </c>
      <c r="G679" t="s">
        <v>21</v>
      </c>
      <c r="H679" t="s">
        <v>16</v>
      </c>
      <c r="I679" t="s">
        <v>43</v>
      </c>
      <c r="J679">
        <v>5</v>
      </c>
      <c r="K679">
        <v>3660.87</v>
      </c>
      <c r="L679">
        <v>338.31</v>
      </c>
    </row>
    <row r="680" spans="1:12" x14ac:dyDescent="0.25">
      <c r="A680">
        <v>10679</v>
      </c>
      <c r="B680" t="s">
        <v>988</v>
      </c>
      <c r="C680" t="s">
        <v>835</v>
      </c>
      <c r="D680" t="s">
        <v>271</v>
      </c>
      <c r="E680" t="s">
        <v>26</v>
      </c>
      <c r="F680" t="s">
        <v>32</v>
      </c>
      <c r="G680" t="s">
        <v>33</v>
      </c>
      <c r="H680" t="s">
        <v>16</v>
      </c>
      <c r="I680" t="s">
        <v>51</v>
      </c>
      <c r="J680">
        <v>4</v>
      </c>
      <c r="K680">
        <v>1911.22</v>
      </c>
      <c r="L680">
        <v>376.69</v>
      </c>
    </row>
    <row r="681" spans="1:12" x14ac:dyDescent="0.25">
      <c r="A681">
        <v>10680</v>
      </c>
      <c r="B681" t="s">
        <v>988</v>
      </c>
      <c r="C681" t="s">
        <v>72</v>
      </c>
      <c r="D681" t="s">
        <v>588</v>
      </c>
      <c r="E681" t="s">
        <v>26</v>
      </c>
      <c r="F681" t="s">
        <v>32</v>
      </c>
      <c r="G681" t="s">
        <v>54</v>
      </c>
      <c r="H681" t="s">
        <v>16</v>
      </c>
      <c r="I681" t="s">
        <v>43</v>
      </c>
      <c r="J681">
        <v>7</v>
      </c>
      <c r="K681">
        <v>3571.42</v>
      </c>
      <c r="L681">
        <v>810.18</v>
      </c>
    </row>
    <row r="682" spans="1:12" x14ac:dyDescent="0.25">
      <c r="A682">
        <v>10681</v>
      </c>
      <c r="B682" t="s">
        <v>988</v>
      </c>
      <c r="C682" t="s">
        <v>429</v>
      </c>
      <c r="D682" t="s">
        <v>836</v>
      </c>
      <c r="E682" t="s">
        <v>13</v>
      </c>
      <c r="F682" t="s">
        <v>14</v>
      </c>
      <c r="G682" t="s">
        <v>37</v>
      </c>
      <c r="H682" t="s">
        <v>22</v>
      </c>
      <c r="I682" t="s">
        <v>34</v>
      </c>
      <c r="J682">
        <v>6</v>
      </c>
      <c r="K682">
        <v>4984.0200000000004</v>
      </c>
      <c r="L682">
        <v>1322.88</v>
      </c>
    </row>
    <row r="683" spans="1:12" x14ac:dyDescent="0.25">
      <c r="A683">
        <v>10682</v>
      </c>
      <c r="B683" t="s">
        <v>988</v>
      </c>
      <c r="C683" t="s">
        <v>837</v>
      </c>
      <c r="D683" t="s">
        <v>838</v>
      </c>
      <c r="E683" t="s">
        <v>13</v>
      </c>
      <c r="F683" t="s">
        <v>14</v>
      </c>
      <c r="G683" t="s">
        <v>15</v>
      </c>
      <c r="H683" t="s">
        <v>27</v>
      </c>
      <c r="I683" t="s">
        <v>77</v>
      </c>
      <c r="J683">
        <v>5</v>
      </c>
      <c r="K683">
        <v>4889.87</v>
      </c>
      <c r="L683">
        <v>1051.8699999999999</v>
      </c>
    </row>
    <row r="684" spans="1:12" x14ac:dyDescent="0.25">
      <c r="A684">
        <v>10683</v>
      </c>
      <c r="B684" t="s">
        <v>988</v>
      </c>
      <c r="C684" t="s">
        <v>59</v>
      </c>
      <c r="D684" t="s">
        <v>591</v>
      </c>
      <c r="E684" t="s">
        <v>26</v>
      </c>
      <c r="F684" t="s">
        <v>46</v>
      </c>
      <c r="G684" t="s">
        <v>47</v>
      </c>
      <c r="H684" t="s">
        <v>22</v>
      </c>
      <c r="I684" t="s">
        <v>34</v>
      </c>
      <c r="J684">
        <v>6</v>
      </c>
      <c r="K684">
        <v>4401.6899999999996</v>
      </c>
      <c r="L684">
        <v>333.52</v>
      </c>
    </row>
    <row r="685" spans="1:12" x14ac:dyDescent="0.25">
      <c r="A685">
        <v>10684</v>
      </c>
      <c r="B685" t="s">
        <v>988</v>
      </c>
      <c r="C685" t="s">
        <v>368</v>
      </c>
      <c r="D685" t="s">
        <v>839</v>
      </c>
      <c r="E685" t="s">
        <v>31</v>
      </c>
      <c r="F685" t="s">
        <v>32</v>
      </c>
      <c r="G685" t="s">
        <v>33</v>
      </c>
      <c r="H685" t="s">
        <v>27</v>
      </c>
      <c r="I685" t="s">
        <v>118</v>
      </c>
      <c r="J685">
        <v>3</v>
      </c>
      <c r="K685">
        <v>2546.13</v>
      </c>
      <c r="L685">
        <v>718.79</v>
      </c>
    </row>
    <row r="686" spans="1:12" x14ac:dyDescent="0.25">
      <c r="A686">
        <v>10685</v>
      </c>
      <c r="B686" t="s">
        <v>988</v>
      </c>
      <c r="C686" t="s">
        <v>469</v>
      </c>
      <c r="D686" t="s">
        <v>802</v>
      </c>
      <c r="E686" t="s">
        <v>13</v>
      </c>
      <c r="F686" t="s">
        <v>32</v>
      </c>
      <c r="G686" t="s">
        <v>54</v>
      </c>
      <c r="H686" t="s">
        <v>16</v>
      </c>
      <c r="I686" t="s">
        <v>17</v>
      </c>
      <c r="J686">
        <v>7</v>
      </c>
      <c r="K686">
        <v>4474.09</v>
      </c>
      <c r="L686">
        <v>477.19</v>
      </c>
    </row>
    <row r="687" spans="1:12" x14ac:dyDescent="0.25">
      <c r="A687">
        <v>10686</v>
      </c>
      <c r="B687" t="s">
        <v>988</v>
      </c>
      <c r="C687" t="s">
        <v>721</v>
      </c>
      <c r="D687" t="s">
        <v>667</v>
      </c>
      <c r="E687" t="s">
        <v>31</v>
      </c>
      <c r="F687" t="s">
        <v>20</v>
      </c>
      <c r="G687" t="s">
        <v>21</v>
      </c>
      <c r="H687" t="s">
        <v>22</v>
      </c>
      <c r="I687" t="s">
        <v>48</v>
      </c>
      <c r="J687">
        <v>1</v>
      </c>
      <c r="K687">
        <v>1226.32</v>
      </c>
      <c r="L687">
        <v>46.29</v>
      </c>
    </row>
    <row r="688" spans="1:12" x14ac:dyDescent="0.25">
      <c r="A688">
        <v>10687</v>
      </c>
      <c r="B688" t="s">
        <v>988</v>
      </c>
      <c r="C688" t="s">
        <v>374</v>
      </c>
      <c r="D688" t="s">
        <v>840</v>
      </c>
      <c r="E688" t="s">
        <v>13</v>
      </c>
      <c r="F688" t="s">
        <v>14</v>
      </c>
      <c r="G688" t="s">
        <v>37</v>
      </c>
      <c r="H688" t="s">
        <v>22</v>
      </c>
      <c r="I688" t="s">
        <v>34</v>
      </c>
      <c r="J688">
        <v>6</v>
      </c>
      <c r="K688">
        <v>4945.21</v>
      </c>
      <c r="L688">
        <v>894.87</v>
      </c>
    </row>
    <row r="689" spans="1:12" x14ac:dyDescent="0.25">
      <c r="A689">
        <v>10688</v>
      </c>
      <c r="B689" t="s">
        <v>988</v>
      </c>
      <c r="C689" t="s">
        <v>841</v>
      </c>
      <c r="D689" t="s">
        <v>153</v>
      </c>
      <c r="E689" t="s">
        <v>31</v>
      </c>
      <c r="F689" t="s">
        <v>46</v>
      </c>
      <c r="G689" t="s">
        <v>71</v>
      </c>
      <c r="H689" t="s">
        <v>27</v>
      </c>
      <c r="I689" t="s">
        <v>118</v>
      </c>
      <c r="J689">
        <v>4</v>
      </c>
      <c r="K689">
        <v>4354.05</v>
      </c>
      <c r="L689">
        <v>397.52</v>
      </c>
    </row>
    <row r="690" spans="1:12" x14ac:dyDescent="0.25">
      <c r="A690">
        <v>10689</v>
      </c>
      <c r="B690" t="s">
        <v>988</v>
      </c>
      <c r="C690" t="s">
        <v>72</v>
      </c>
      <c r="D690" t="s">
        <v>237</v>
      </c>
      <c r="E690" t="s">
        <v>26</v>
      </c>
      <c r="F690" t="s">
        <v>46</v>
      </c>
      <c r="G690" t="s">
        <v>71</v>
      </c>
      <c r="H690" t="s">
        <v>16</v>
      </c>
      <c r="I690" t="s">
        <v>43</v>
      </c>
      <c r="J690">
        <v>7</v>
      </c>
      <c r="K690">
        <v>4610.0200000000004</v>
      </c>
      <c r="L690">
        <v>464.39</v>
      </c>
    </row>
    <row r="691" spans="1:12" x14ac:dyDescent="0.25">
      <c r="A691">
        <v>10690</v>
      </c>
      <c r="B691" t="s">
        <v>988</v>
      </c>
      <c r="C691" t="s">
        <v>400</v>
      </c>
      <c r="D691" t="s">
        <v>842</v>
      </c>
      <c r="E691" t="s">
        <v>31</v>
      </c>
      <c r="F691" t="s">
        <v>32</v>
      </c>
      <c r="G691" t="s">
        <v>33</v>
      </c>
      <c r="H691" t="s">
        <v>27</v>
      </c>
      <c r="I691" t="s">
        <v>28</v>
      </c>
      <c r="J691">
        <v>2</v>
      </c>
      <c r="K691">
        <v>4201.1899999999996</v>
      </c>
      <c r="L691">
        <v>363.46</v>
      </c>
    </row>
    <row r="692" spans="1:12" x14ac:dyDescent="0.25">
      <c r="A692">
        <v>10691</v>
      </c>
      <c r="B692" t="s">
        <v>988</v>
      </c>
      <c r="C692" t="s">
        <v>843</v>
      </c>
      <c r="D692" t="s">
        <v>844</v>
      </c>
      <c r="E692" t="s">
        <v>13</v>
      </c>
      <c r="F692" t="s">
        <v>20</v>
      </c>
      <c r="G692" t="s">
        <v>76</v>
      </c>
      <c r="H692" t="s">
        <v>16</v>
      </c>
      <c r="I692" t="s">
        <v>81</v>
      </c>
      <c r="J692">
        <v>6</v>
      </c>
      <c r="K692">
        <v>4851.88</v>
      </c>
      <c r="L692">
        <v>943.42</v>
      </c>
    </row>
    <row r="693" spans="1:12" x14ac:dyDescent="0.25">
      <c r="A693">
        <v>10692</v>
      </c>
      <c r="B693" t="s">
        <v>988</v>
      </c>
      <c r="C693" t="s">
        <v>845</v>
      </c>
      <c r="D693" t="s">
        <v>846</v>
      </c>
      <c r="E693" t="s">
        <v>26</v>
      </c>
      <c r="F693" t="s">
        <v>46</v>
      </c>
      <c r="G693" t="s">
        <v>71</v>
      </c>
      <c r="H693" t="s">
        <v>22</v>
      </c>
      <c r="I693" t="s">
        <v>38</v>
      </c>
      <c r="J693">
        <v>6</v>
      </c>
      <c r="K693">
        <v>4010.92</v>
      </c>
      <c r="L693">
        <v>891.66</v>
      </c>
    </row>
    <row r="694" spans="1:12" x14ac:dyDescent="0.25">
      <c r="A694">
        <v>10693</v>
      </c>
      <c r="B694" t="s">
        <v>988</v>
      </c>
      <c r="C694" t="s">
        <v>189</v>
      </c>
      <c r="D694" t="s">
        <v>364</v>
      </c>
      <c r="E694" t="s">
        <v>13</v>
      </c>
      <c r="F694" t="s">
        <v>20</v>
      </c>
      <c r="G694" t="s">
        <v>76</v>
      </c>
      <c r="H694" t="s">
        <v>22</v>
      </c>
      <c r="I694" t="s">
        <v>48</v>
      </c>
      <c r="J694">
        <v>7</v>
      </c>
      <c r="K694">
        <v>537.02</v>
      </c>
      <c r="L694">
        <v>124.99</v>
      </c>
    </row>
    <row r="695" spans="1:12" x14ac:dyDescent="0.25">
      <c r="A695">
        <v>10694</v>
      </c>
      <c r="B695" t="s">
        <v>988</v>
      </c>
      <c r="C695" t="s">
        <v>845</v>
      </c>
      <c r="D695" t="s">
        <v>699</v>
      </c>
      <c r="E695" t="s">
        <v>31</v>
      </c>
      <c r="F695" t="s">
        <v>46</v>
      </c>
      <c r="G695" t="s">
        <v>71</v>
      </c>
      <c r="H695" t="s">
        <v>27</v>
      </c>
      <c r="I695" t="s">
        <v>77</v>
      </c>
      <c r="J695">
        <v>7</v>
      </c>
      <c r="K695">
        <v>3705.86</v>
      </c>
      <c r="L695">
        <v>948.84</v>
      </c>
    </row>
    <row r="696" spans="1:12" x14ac:dyDescent="0.25">
      <c r="A696">
        <v>10695</v>
      </c>
      <c r="B696" t="s">
        <v>988</v>
      </c>
      <c r="C696" t="s">
        <v>555</v>
      </c>
      <c r="D696" t="s">
        <v>634</v>
      </c>
      <c r="E696" t="s">
        <v>26</v>
      </c>
      <c r="F696" t="s">
        <v>14</v>
      </c>
      <c r="G696" t="s">
        <v>37</v>
      </c>
      <c r="H696" t="s">
        <v>16</v>
      </c>
      <c r="I696" t="s">
        <v>43</v>
      </c>
      <c r="J696">
        <v>8</v>
      </c>
      <c r="K696">
        <v>2282.67</v>
      </c>
      <c r="L696">
        <v>308.76</v>
      </c>
    </row>
    <row r="697" spans="1:12" x14ac:dyDescent="0.25">
      <c r="A697">
        <v>10696</v>
      </c>
      <c r="B697" t="s">
        <v>988</v>
      </c>
      <c r="C697" t="s">
        <v>847</v>
      </c>
      <c r="D697" t="s">
        <v>729</v>
      </c>
      <c r="E697" t="s">
        <v>26</v>
      </c>
      <c r="F697" t="s">
        <v>20</v>
      </c>
      <c r="G697" t="s">
        <v>76</v>
      </c>
      <c r="H697" t="s">
        <v>16</v>
      </c>
      <c r="I697" t="s">
        <v>43</v>
      </c>
      <c r="J697">
        <v>7</v>
      </c>
      <c r="K697">
        <v>3190.36</v>
      </c>
      <c r="L697">
        <v>182.32</v>
      </c>
    </row>
    <row r="698" spans="1:12" x14ac:dyDescent="0.25">
      <c r="A698">
        <v>10697</v>
      </c>
      <c r="B698" t="s">
        <v>988</v>
      </c>
      <c r="C698" t="s">
        <v>116</v>
      </c>
      <c r="D698" t="s">
        <v>848</v>
      </c>
      <c r="E698" t="s">
        <v>26</v>
      </c>
      <c r="F698" t="s">
        <v>46</v>
      </c>
      <c r="G698" t="s">
        <v>47</v>
      </c>
      <c r="H698" t="s">
        <v>16</v>
      </c>
      <c r="I698" t="s">
        <v>81</v>
      </c>
      <c r="J698">
        <v>5</v>
      </c>
      <c r="K698">
        <v>2394.27</v>
      </c>
      <c r="L698">
        <v>86.96</v>
      </c>
    </row>
    <row r="699" spans="1:12" x14ac:dyDescent="0.25">
      <c r="A699">
        <v>10698</v>
      </c>
      <c r="B699" t="s">
        <v>988</v>
      </c>
      <c r="C699" t="s">
        <v>499</v>
      </c>
      <c r="D699" t="s">
        <v>849</v>
      </c>
      <c r="E699" t="s">
        <v>13</v>
      </c>
      <c r="F699" t="s">
        <v>32</v>
      </c>
      <c r="G699" t="s">
        <v>33</v>
      </c>
      <c r="H699" t="s">
        <v>16</v>
      </c>
      <c r="I699" t="s">
        <v>51</v>
      </c>
      <c r="J699">
        <v>5</v>
      </c>
      <c r="K699">
        <v>2885.82</v>
      </c>
      <c r="L699">
        <v>450.08</v>
      </c>
    </row>
    <row r="700" spans="1:12" x14ac:dyDescent="0.25">
      <c r="A700">
        <v>10699</v>
      </c>
      <c r="B700" t="s">
        <v>988</v>
      </c>
      <c r="C700" t="s">
        <v>768</v>
      </c>
      <c r="D700" t="s">
        <v>583</v>
      </c>
      <c r="E700" t="s">
        <v>13</v>
      </c>
      <c r="F700" t="s">
        <v>20</v>
      </c>
      <c r="G700" t="s">
        <v>76</v>
      </c>
      <c r="H700" t="s">
        <v>22</v>
      </c>
      <c r="I700" t="s">
        <v>34</v>
      </c>
      <c r="J700">
        <v>5</v>
      </c>
      <c r="K700">
        <v>1841.74</v>
      </c>
      <c r="L700">
        <v>284.83999999999997</v>
      </c>
    </row>
    <row r="701" spans="1:12" x14ac:dyDescent="0.25">
      <c r="A701">
        <v>10700</v>
      </c>
      <c r="B701" t="s">
        <v>988</v>
      </c>
      <c r="C701" t="s">
        <v>850</v>
      </c>
      <c r="D701" t="s">
        <v>141</v>
      </c>
      <c r="E701" t="s">
        <v>31</v>
      </c>
      <c r="F701" t="s">
        <v>20</v>
      </c>
      <c r="G701" t="s">
        <v>21</v>
      </c>
      <c r="H701" t="s">
        <v>22</v>
      </c>
      <c r="I701" t="s">
        <v>34</v>
      </c>
      <c r="J701">
        <v>1</v>
      </c>
      <c r="K701">
        <v>508.12</v>
      </c>
      <c r="L701">
        <v>107.02</v>
      </c>
    </row>
    <row r="702" spans="1:12" x14ac:dyDescent="0.25">
      <c r="A702">
        <v>10701</v>
      </c>
      <c r="B702" t="s">
        <v>988</v>
      </c>
      <c r="C702" t="s">
        <v>227</v>
      </c>
      <c r="D702" t="s">
        <v>734</v>
      </c>
      <c r="E702" t="s">
        <v>31</v>
      </c>
      <c r="F702" t="s">
        <v>20</v>
      </c>
      <c r="G702" t="s">
        <v>76</v>
      </c>
      <c r="H702" t="s">
        <v>27</v>
      </c>
      <c r="I702" t="s">
        <v>104</v>
      </c>
      <c r="J702">
        <v>4</v>
      </c>
      <c r="K702">
        <v>1006.93</v>
      </c>
      <c r="L702">
        <v>177.99</v>
      </c>
    </row>
    <row r="703" spans="1:12" x14ac:dyDescent="0.25">
      <c r="A703">
        <v>10702</v>
      </c>
      <c r="B703" t="s">
        <v>988</v>
      </c>
      <c r="C703" t="s">
        <v>851</v>
      </c>
      <c r="D703" t="s">
        <v>686</v>
      </c>
      <c r="E703" t="s">
        <v>13</v>
      </c>
      <c r="F703" t="s">
        <v>14</v>
      </c>
      <c r="G703" t="s">
        <v>15</v>
      </c>
      <c r="H703" t="s">
        <v>27</v>
      </c>
      <c r="I703" t="s">
        <v>118</v>
      </c>
      <c r="J703">
        <v>1</v>
      </c>
      <c r="K703">
        <v>941.5</v>
      </c>
      <c r="L703">
        <v>90.2</v>
      </c>
    </row>
    <row r="704" spans="1:12" x14ac:dyDescent="0.25">
      <c r="A704">
        <v>10703</v>
      </c>
      <c r="B704" t="s">
        <v>988</v>
      </c>
      <c r="C704" t="s">
        <v>393</v>
      </c>
      <c r="D704" t="s">
        <v>852</v>
      </c>
      <c r="E704" t="s">
        <v>26</v>
      </c>
      <c r="F704" t="s">
        <v>20</v>
      </c>
      <c r="G704" t="s">
        <v>76</v>
      </c>
      <c r="H704" t="s">
        <v>16</v>
      </c>
      <c r="I704" t="s">
        <v>17</v>
      </c>
      <c r="J704">
        <v>7</v>
      </c>
      <c r="K704">
        <v>4042.74</v>
      </c>
      <c r="L704">
        <v>277.2</v>
      </c>
    </row>
    <row r="705" spans="1:12" x14ac:dyDescent="0.25">
      <c r="A705">
        <v>10704</v>
      </c>
      <c r="B705" t="s">
        <v>988</v>
      </c>
      <c r="C705" t="s">
        <v>114</v>
      </c>
      <c r="D705" t="s">
        <v>853</v>
      </c>
      <c r="E705" t="s">
        <v>26</v>
      </c>
      <c r="F705" t="s">
        <v>46</v>
      </c>
      <c r="G705" t="s">
        <v>71</v>
      </c>
      <c r="H705" t="s">
        <v>22</v>
      </c>
      <c r="I705" t="s">
        <v>34</v>
      </c>
      <c r="J705">
        <v>3</v>
      </c>
      <c r="K705">
        <v>3283.73</v>
      </c>
      <c r="L705">
        <v>459.33</v>
      </c>
    </row>
    <row r="706" spans="1:12" x14ac:dyDescent="0.25">
      <c r="A706">
        <v>10705</v>
      </c>
      <c r="B706" t="s">
        <v>988</v>
      </c>
      <c r="C706" t="s">
        <v>405</v>
      </c>
      <c r="D706" t="s">
        <v>854</v>
      </c>
      <c r="E706" t="s">
        <v>31</v>
      </c>
      <c r="F706" t="s">
        <v>32</v>
      </c>
      <c r="G706" t="s">
        <v>54</v>
      </c>
      <c r="H706" t="s">
        <v>22</v>
      </c>
      <c r="I706" t="s">
        <v>34</v>
      </c>
      <c r="J706">
        <v>7</v>
      </c>
      <c r="K706">
        <v>206.9</v>
      </c>
      <c r="L706">
        <v>3.69</v>
      </c>
    </row>
    <row r="707" spans="1:12" x14ac:dyDescent="0.25">
      <c r="A707">
        <v>10706</v>
      </c>
      <c r="B707" t="s">
        <v>988</v>
      </c>
      <c r="C707" t="s">
        <v>301</v>
      </c>
      <c r="D707" t="s">
        <v>855</v>
      </c>
      <c r="E707" t="s">
        <v>26</v>
      </c>
      <c r="F707" t="s">
        <v>20</v>
      </c>
      <c r="G707" t="s">
        <v>21</v>
      </c>
      <c r="H707" t="s">
        <v>27</v>
      </c>
      <c r="I707" t="s">
        <v>104</v>
      </c>
      <c r="J707">
        <v>4</v>
      </c>
      <c r="K707">
        <v>1544.67</v>
      </c>
      <c r="L707">
        <v>358.37</v>
      </c>
    </row>
    <row r="708" spans="1:12" x14ac:dyDescent="0.25">
      <c r="A708">
        <v>10707</v>
      </c>
      <c r="B708" t="s">
        <v>988</v>
      </c>
      <c r="C708" t="s">
        <v>514</v>
      </c>
      <c r="D708" t="s">
        <v>770</v>
      </c>
      <c r="E708" t="s">
        <v>31</v>
      </c>
      <c r="F708" t="s">
        <v>20</v>
      </c>
      <c r="G708" t="s">
        <v>76</v>
      </c>
      <c r="H708" t="s">
        <v>27</v>
      </c>
      <c r="I708" t="s">
        <v>28</v>
      </c>
      <c r="J708">
        <v>1</v>
      </c>
      <c r="K708">
        <v>2488.73</v>
      </c>
      <c r="L708">
        <v>367.78</v>
      </c>
    </row>
    <row r="709" spans="1:12" x14ac:dyDescent="0.25">
      <c r="A709">
        <v>10708</v>
      </c>
      <c r="B709" t="s">
        <v>988</v>
      </c>
      <c r="C709" t="s">
        <v>612</v>
      </c>
      <c r="D709" t="s">
        <v>595</v>
      </c>
      <c r="E709" t="s">
        <v>31</v>
      </c>
      <c r="F709" t="s">
        <v>46</v>
      </c>
      <c r="G709" t="s">
        <v>71</v>
      </c>
      <c r="H709" t="s">
        <v>16</v>
      </c>
      <c r="I709" t="s">
        <v>81</v>
      </c>
      <c r="J709">
        <v>7</v>
      </c>
      <c r="K709">
        <v>2924.38</v>
      </c>
      <c r="L709">
        <v>523.91999999999996</v>
      </c>
    </row>
    <row r="710" spans="1:12" x14ac:dyDescent="0.25">
      <c r="A710">
        <v>10709</v>
      </c>
      <c r="B710" t="s">
        <v>988</v>
      </c>
      <c r="C710" t="s">
        <v>403</v>
      </c>
      <c r="D710" t="s">
        <v>271</v>
      </c>
      <c r="E710" t="s">
        <v>31</v>
      </c>
      <c r="F710" t="s">
        <v>14</v>
      </c>
      <c r="G710" t="s">
        <v>37</v>
      </c>
      <c r="H710" t="s">
        <v>16</v>
      </c>
      <c r="I710" t="s">
        <v>17</v>
      </c>
      <c r="J710">
        <v>8</v>
      </c>
      <c r="K710">
        <v>3517.82</v>
      </c>
      <c r="L710">
        <v>165.39</v>
      </c>
    </row>
    <row r="711" spans="1:12" x14ac:dyDescent="0.25">
      <c r="A711">
        <v>10710</v>
      </c>
      <c r="B711" t="s">
        <v>988</v>
      </c>
      <c r="C711" t="s">
        <v>55</v>
      </c>
      <c r="D711" t="s">
        <v>699</v>
      </c>
      <c r="E711" t="s">
        <v>31</v>
      </c>
      <c r="F711" t="s">
        <v>20</v>
      </c>
      <c r="G711" t="s">
        <v>21</v>
      </c>
      <c r="H711" t="s">
        <v>16</v>
      </c>
      <c r="I711" t="s">
        <v>43</v>
      </c>
      <c r="J711">
        <v>6</v>
      </c>
      <c r="K711">
        <v>4616.5</v>
      </c>
      <c r="L711">
        <v>1144.3</v>
      </c>
    </row>
    <row r="712" spans="1:12" x14ac:dyDescent="0.25">
      <c r="A712">
        <v>10711</v>
      </c>
      <c r="B712" t="s">
        <v>988</v>
      </c>
      <c r="C712" t="s">
        <v>276</v>
      </c>
      <c r="D712" t="s">
        <v>160</v>
      </c>
      <c r="E712" t="s">
        <v>13</v>
      </c>
      <c r="F712" t="s">
        <v>20</v>
      </c>
      <c r="G712" t="s">
        <v>76</v>
      </c>
      <c r="H712" t="s">
        <v>16</v>
      </c>
      <c r="I712" t="s">
        <v>17</v>
      </c>
      <c r="J712">
        <v>8</v>
      </c>
      <c r="K712">
        <v>4018.8</v>
      </c>
      <c r="L712">
        <v>987.26</v>
      </c>
    </row>
    <row r="713" spans="1:12" x14ac:dyDescent="0.25">
      <c r="A713">
        <v>10712</v>
      </c>
      <c r="B713" t="s">
        <v>988</v>
      </c>
      <c r="C713" t="s">
        <v>181</v>
      </c>
      <c r="D713" t="s">
        <v>801</v>
      </c>
      <c r="E713" t="s">
        <v>26</v>
      </c>
      <c r="F713" t="s">
        <v>14</v>
      </c>
      <c r="G713" t="s">
        <v>37</v>
      </c>
      <c r="H713" t="s">
        <v>22</v>
      </c>
      <c r="I713" t="s">
        <v>48</v>
      </c>
      <c r="J713">
        <v>4</v>
      </c>
      <c r="K713">
        <v>865.94</v>
      </c>
      <c r="L713">
        <v>70.5</v>
      </c>
    </row>
    <row r="714" spans="1:12" x14ac:dyDescent="0.25">
      <c r="A714">
        <v>10713</v>
      </c>
      <c r="B714" t="s">
        <v>988</v>
      </c>
      <c r="C714" t="s">
        <v>328</v>
      </c>
      <c r="D714" t="s">
        <v>780</v>
      </c>
      <c r="E714" t="s">
        <v>26</v>
      </c>
      <c r="F714" t="s">
        <v>46</v>
      </c>
      <c r="G714" t="s">
        <v>71</v>
      </c>
      <c r="H714" t="s">
        <v>22</v>
      </c>
      <c r="I714" t="s">
        <v>38</v>
      </c>
      <c r="J714">
        <v>5</v>
      </c>
      <c r="K714">
        <v>1849.51</v>
      </c>
      <c r="L714">
        <v>83.02</v>
      </c>
    </row>
    <row r="715" spans="1:12" x14ac:dyDescent="0.25">
      <c r="A715">
        <v>10714</v>
      </c>
      <c r="B715" t="s">
        <v>988</v>
      </c>
      <c r="C715" t="s">
        <v>39</v>
      </c>
      <c r="D715" t="s">
        <v>412</v>
      </c>
      <c r="E715" t="s">
        <v>26</v>
      </c>
      <c r="F715" t="s">
        <v>32</v>
      </c>
      <c r="G715" t="s">
        <v>54</v>
      </c>
      <c r="H715" t="s">
        <v>22</v>
      </c>
      <c r="I715" t="s">
        <v>48</v>
      </c>
      <c r="J715">
        <v>2</v>
      </c>
      <c r="K715">
        <v>2853.71</v>
      </c>
      <c r="L715">
        <v>390.31</v>
      </c>
    </row>
    <row r="716" spans="1:12" x14ac:dyDescent="0.25">
      <c r="A716">
        <v>10715</v>
      </c>
      <c r="B716" t="s">
        <v>988</v>
      </c>
      <c r="C716" t="s">
        <v>671</v>
      </c>
      <c r="D716" t="s">
        <v>734</v>
      </c>
      <c r="E716" t="s">
        <v>13</v>
      </c>
      <c r="F716" t="s">
        <v>32</v>
      </c>
      <c r="G716" t="s">
        <v>33</v>
      </c>
      <c r="H716" t="s">
        <v>16</v>
      </c>
      <c r="I716" t="s">
        <v>81</v>
      </c>
      <c r="J716">
        <v>1</v>
      </c>
      <c r="K716">
        <v>4640.5</v>
      </c>
      <c r="L716">
        <v>694.25</v>
      </c>
    </row>
    <row r="717" spans="1:12" x14ac:dyDescent="0.25">
      <c r="A717">
        <v>10716</v>
      </c>
      <c r="B717" t="s">
        <v>988</v>
      </c>
      <c r="C717" t="s">
        <v>319</v>
      </c>
      <c r="D717" t="s">
        <v>856</v>
      </c>
      <c r="E717" t="s">
        <v>31</v>
      </c>
      <c r="F717" t="s">
        <v>14</v>
      </c>
      <c r="G717" t="s">
        <v>15</v>
      </c>
      <c r="H717" t="s">
        <v>16</v>
      </c>
      <c r="I717" t="s">
        <v>81</v>
      </c>
      <c r="J717">
        <v>3</v>
      </c>
      <c r="K717">
        <v>3186.64</v>
      </c>
      <c r="L717">
        <v>762.02</v>
      </c>
    </row>
    <row r="718" spans="1:12" x14ac:dyDescent="0.25">
      <c r="A718">
        <v>10717</v>
      </c>
      <c r="B718" t="s">
        <v>988</v>
      </c>
      <c r="C718" t="s">
        <v>709</v>
      </c>
      <c r="D718" t="s">
        <v>857</v>
      </c>
      <c r="E718" t="s">
        <v>31</v>
      </c>
      <c r="F718" t="s">
        <v>20</v>
      </c>
      <c r="G718" t="s">
        <v>76</v>
      </c>
      <c r="H718" t="s">
        <v>16</v>
      </c>
      <c r="I718" t="s">
        <v>81</v>
      </c>
      <c r="J718">
        <v>3</v>
      </c>
      <c r="K718">
        <v>3270.76</v>
      </c>
      <c r="L718">
        <v>423.37</v>
      </c>
    </row>
    <row r="719" spans="1:12" x14ac:dyDescent="0.25">
      <c r="A719">
        <v>10718</v>
      </c>
      <c r="B719" t="s">
        <v>988</v>
      </c>
      <c r="C719" t="s">
        <v>858</v>
      </c>
      <c r="D719" t="s">
        <v>859</v>
      </c>
      <c r="E719" t="s">
        <v>13</v>
      </c>
      <c r="F719" t="s">
        <v>14</v>
      </c>
      <c r="G719" t="s">
        <v>15</v>
      </c>
      <c r="H719" t="s">
        <v>27</v>
      </c>
      <c r="I719" t="s">
        <v>28</v>
      </c>
      <c r="J719">
        <v>5</v>
      </c>
      <c r="K719">
        <v>2574.61</v>
      </c>
      <c r="L719">
        <v>146.35</v>
      </c>
    </row>
    <row r="720" spans="1:12" x14ac:dyDescent="0.25">
      <c r="A720">
        <v>10719</v>
      </c>
      <c r="B720" t="s">
        <v>988</v>
      </c>
      <c r="C720" t="s">
        <v>296</v>
      </c>
      <c r="D720" t="s">
        <v>746</v>
      </c>
      <c r="E720" t="s">
        <v>13</v>
      </c>
      <c r="F720" t="s">
        <v>46</v>
      </c>
      <c r="G720" t="s">
        <v>71</v>
      </c>
      <c r="H720" t="s">
        <v>16</v>
      </c>
      <c r="I720" t="s">
        <v>51</v>
      </c>
      <c r="J720">
        <v>4</v>
      </c>
      <c r="K720">
        <v>776.17</v>
      </c>
      <c r="L720">
        <v>30.22</v>
      </c>
    </row>
    <row r="721" spans="1:12" x14ac:dyDescent="0.25">
      <c r="A721">
        <v>10720</v>
      </c>
      <c r="B721" t="s">
        <v>988</v>
      </c>
      <c r="C721" t="s">
        <v>860</v>
      </c>
      <c r="D721" t="s">
        <v>471</v>
      </c>
      <c r="E721" t="s">
        <v>31</v>
      </c>
      <c r="F721" t="s">
        <v>32</v>
      </c>
      <c r="G721" t="s">
        <v>33</v>
      </c>
      <c r="H721" t="s">
        <v>27</v>
      </c>
      <c r="I721" t="s">
        <v>104</v>
      </c>
      <c r="J721">
        <v>1</v>
      </c>
      <c r="K721">
        <v>3616.37</v>
      </c>
      <c r="L721">
        <v>641.59</v>
      </c>
    </row>
    <row r="722" spans="1:12" x14ac:dyDescent="0.25">
      <c r="A722">
        <v>10721</v>
      </c>
      <c r="B722" t="s">
        <v>988</v>
      </c>
      <c r="C722" t="s">
        <v>61</v>
      </c>
      <c r="D722" t="s">
        <v>861</v>
      </c>
      <c r="E722" t="s">
        <v>13</v>
      </c>
      <c r="F722" t="s">
        <v>46</v>
      </c>
      <c r="G722" t="s">
        <v>47</v>
      </c>
      <c r="H722" t="s">
        <v>22</v>
      </c>
      <c r="I722" t="s">
        <v>34</v>
      </c>
      <c r="J722">
        <v>1</v>
      </c>
      <c r="K722">
        <v>3334.86</v>
      </c>
      <c r="L722">
        <v>611.29</v>
      </c>
    </row>
    <row r="723" spans="1:12" x14ac:dyDescent="0.25">
      <c r="A723">
        <v>10722</v>
      </c>
      <c r="B723" t="s">
        <v>988</v>
      </c>
      <c r="C723" t="s">
        <v>286</v>
      </c>
      <c r="D723" t="s">
        <v>125</v>
      </c>
      <c r="E723" t="s">
        <v>26</v>
      </c>
      <c r="F723" t="s">
        <v>32</v>
      </c>
      <c r="G723" t="s">
        <v>54</v>
      </c>
      <c r="H723" t="s">
        <v>27</v>
      </c>
      <c r="I723" t="s">
        <v>28</v>
      </c>
      <c r="J723">
        <v>6</v>
      </c>
      <c r="K723">
        <v>4555.2299999999996</v>
      </c>
      <c r="L723">
        <v>208.78</v>
      </c>
    </row>
    <row r="724" spans="1:12" x14ac:dyDescent="0.25">
      <c r="A724">
        <v>10723</v>
      </c>
      <c r="B724" t="s">
        <v>988</v>
      </c>
      <c r="C724" t="s">
        <v>140</v>
      </c>
      <c r="D724" t="s">
        <v>453</v>
      </c>
      <c r="E724" t="s">
        <v>26</v>
      </c>
      <c r="F724" t="s">
        <v>20</v>
      </c>
      <c r="G724" t="s">
        <v>76</v>
      </c>
      <c r="H724" t="s">
        <v>16</v>
      </c>
      <c r="I724" t="s">
        <v>43</v>
      </c>
      <c r="J724">
        <v>8</v>
      </c>
      <c r="K724">
        <v>3517.61</v>
      </c>
      <c r="L724">
        <v>878.35</v>
      </c>
    </row>
    <row r="725" spans="1:12" x14ac:dyDescent="0.25">
      <c r="A725">
        <v>10724</v>
      </c>
      <c r="B725" t="s">
        <v>988</v>
      </c>
      <c r="C725" t="s">
        <v>410</v>
      </c>
      <c r="D725" t="s">
        <v>775</v>
      </c>
      <c r="E725" t="s">
        <v>26</v>
      </c>
      <c r="F725" t="s">
        <v>32</v>
      </c>
      <c r="G725" t="s">
        <v>33</v>
      </c>
      <c r="H725" t="s">
        <v>22</v>
      </c>
      <c r="I725" t="s">
        <v>38</v>
      </c>
      <c r="J725">
        <v>7</v>
      </c>
      <c r="K725">
        <v>3652.98</v>
      </c>
      <c r="L725">
        <v>845.9</v>
      </c>
    </row>
    <row r="726" spans="1:12" x14ac:dyDescent="0.25">
      <c r="A726">
        <v>10725</v>
      </c>
      <c r="B726" t="s">
        <v>988</v>
      </c>
      <c r="C726" t="s">
        <v>130</v>
      </c>
      <c r="D726" t="s">
        <v>335</v>
      </c>
      <c r="E726" t="s">
        <v>31</v>
      </c>
      <c r="F726" t="s">
        <v>14</v>
      </c>
      <c r="G726" t="s">
        <v>37</v>
      </c>
      <c r="H726" t="s">
        <v>16</v>
      </c>
      <c r="I726" t="s">
        <v>17</v>
      </c>
      <c r="J726">
        <v>3</v>
      </c>
      <c r="K726">
        <v>214.77</v>
      </c>
      <c r="L726">
        <v>4.55</v>
      </c>
    </row>
    <row r="727" spans="1:12" x14ac:dyDescent="0.25">
      <c r="A727">
        <v>10726</v>
      </c>
      <c r="B727" t="s">
        <v>988</v>
      </c>
      <c r="C727" t="s">
        <v>146</v>
      </c>
      <c r="D727" t="s">
        <v>804</v>
      </c>
      <c r="E727" t="s">
        <v>31</v>
      </c>
      <c r="F727" t="s">
        <v>20</v>
      </c>
      <c r="G727" t="s">
        <v>21</v>
      </c>
      <c r="H727" t="s">
        <v>16</v>
      </c>
      <c r="I727" t="s">
        <v>81</v>
      </c>
      <c r="J727">
        <v>6</v>
      </c>
      <c r="K727">
        <v>1372.81</v>
      </c>
      <c r="L727">
        <v>230.43</v>
      </c>
    </row>
    <row r="728" spans="1:12" x14ac:dyDescent="0.25">
      <c r="A728">
        <v>10727</v>
      </c>
      <c r="B728" t="s">
        <v>988</v>
      </c>
      <c r="C728" t="s">
        <v>862</v>
      </c>
      <c r="D728" t="s">
        <v>684</v>
      </c>
      <c r="E728" t="s">
        <v>13</v>
      </c>
      <c r="F728" t="s">
        <v>32</v>
      </c>
      <c r="G728" t="s">
        <v>33</v>
      </c>
      <c r="H728" t="s">
        <v>27</v>
      </c>
      <c r="I728" t="s">
        <v>28</v>
      </c>
      <c r="J728">
        <v>4</v>
      </c>
      <c r="K728">
        <v>4046.4</v>
      </c>
      <c r="L728">
        <v>1146.23</v>
      </c>
    </row>
    <row r="729" spans="1:12" x14ac:dyDescent="0.25">
      <c r="A729">
        <v>10728</v>
      </c>
      <c r="B729" t="s">
        <v>988</v>
      </c>
      <c r="C729" t="s">
        <v>497</v>
      </c>
      <c r="D729" t="s">
        <v>438</v>
      </c>
      <c r="E729" t="s">
        <v>13</v>
      </c>
      <c r="F729" t="s">
        <v>46</v>
      </c>
      <c r="G729" t="s">
        <v>47</v>
      </c>
      <c r="H729" t="s">
        <v>27</v>
      </c>
      <c r="I729" t="s">
        <v>28</v>
      </c>
      <c r="J729">
        <v>3</v>
      </c>
      <c r="K729">
        <v>3600.32</v>
      </c>
      <c r="L729">
        <v>622.99</v>
      </c>
    </row>
    <row r="730" spans="1:12" x14ac:dyDescent="0.25">
      <c r="A730">
        <v>10729</v>
      </c>
      <c r="B730" t="s">
        <v>988</v>
      </c>
      <c r="C730" t="s">
        <v>863</v>
      </c>
      <c r="D730" t="s">
        <v>864</v>
      </c>
      <c r="E730" t="s">
        <v>26</v>
      </c>
      <c r="F730" t="s">
        <v>46</v>
      </c>
      <c r="G730" t="s">
        <v>47</v>
      </c>
      <c r="H730" t="s">
        <v>27</v>
      </c>
      <c r="I730" t="s">
        <v>118</v>
      </c>
      <c r="J730">
        <v>3</v>
      </c>
      <c r="K730">
        <v>3587.04</v>
      </c>
      <c r="L730">
        <v>914.07</v>
      </c>
    </row>
    <row r="731" spans="1:12" x14ac:dyDescent="0.25">
      <c r="A731">
        <v>10730</v>
      </c>
      <c r="B731" t="s">
        <v>988</v>
      </c>
      <c r="C731" t="s">
        <v>677</v>
      </c>
      <c r="D731" t="s">
        <v>730</v>
      </c>
      <c r="E731" t="s">
        <v>31</v>
      </c>
      <c r="F731" t="s">
        <v>20</v>
      </c>
      <c r="G731" t="s">
        <v>21</v>
      </c>
      <c r="H731" t="s">
        <v>27</v>
      </c>
      <c r="I731" t="s">
        <v>118</v>
      </c>
      <c r="J731">
        <v>6</v>
      </c>
      <c r="K731">
        <v>3416.43</v>
      </c>
      <c r="L731">
        <v>458.92</v>
      </c>
    </row>
    <row r="732" spans="1:12" x14ac:dyDescent="0.25">
      <c r="A732">
        <v>10731</v>
      </c>
      <c r="B732" t="s">
        <v>988</v>
      </c>
      <c r="C732" t="s">
        <v>415</v>
      </c>
      <c r="D732" t="s">
        <v>790</v>
      </c>
      <c r="E732" t="s">
        <v>26</v>
      </c>
      <c r="F732" t="s">
        <v>20</v>
      </c>
      <c r="G732" t="s">
        <v>76</v>
      </c>
      <c r="H732" t="s">
        <v>27</v>
      </c>
      <c r="I732" t="s">
        <v>77</v>
      </c>
      <c r="J732">
        <v>7</v>
      </c>
      <c r="K732">
        <v>4136.68</v>
      </c>
      <c r="L732">
        <v>343.4</v>
      </c>
    </row>
    <row r="733" spans="1:12" x14ac:dyDescent="0.25">
      <c r="A733">
        <v>10732</v>
      </c>
      <c r="B733" t="s">
        <v>988</v>
      </c>
      <c r="C733" t="s">
        <v>452</v>
      </c>
      <c r="D733" t="s">
        <v>594</v>
      </c>
      <c r="E733" t="s">
        <v>31</v>
      </c>
      <c r="F733" t="s">
        <v>14</v>
      </c>
      <c r="G733" t="s">
        <v>15</v>
      </c>
      <c r="H733" t="s">
        <v>27</v>
      </c>
      <c r="I733" t="s">
        <v>77</v>
      </c>
      <c r="J733">
        <v>1</v>
      </c>
      <c r="K733">
        <v>3757.83</v>
      </c>
      <c r="L733">
        <v>1037.8699999999999</v>
      </c>
    </row>
    <row r="734" spans="1:12" x14ac:dyDescent="0.25">
      <c r="A734">
        <v>10733</v>
      </c>
      <c r="B734" t="s">
        <v>988</v>
      </c>
      <c r="C734" t="s">
        <v>211</v>
      </c>
      <c r="D734" t="s">
        <v>801</v>
      </c>
      <c r="E734" t="s">
        <v>31</v>
      </c>
      <c r="F734" t="s">
        <v>14</v>
      </c>
      <c r="G734" t="s">
        <v>15</v>
      </c>
      <c r="H734" t="s">
        <v>27</v>
      </c>
      <c r="I734" t="s">
        <v>28</v>
      </c>
      <c r="J734">
        <v>1</v>
      </c>
      <c r="K734">
        <v>2661.61</v>
      </c>
      <c r="L734">
        <v>180.93</v>
      </c>
    </row>
    <row r="735" spans="1:12" x14ac:dyDescent="0.25">
      <c r="A735">
        <v>10734</v>
      </c>
      <c r="B735" t="s">
        <v>988</v>
      </c>
      <c r="C735" t="s">
        <v>865</v>
      </c>
      <c r="D735" t="s">
        <v>866</v>
      </c>
      <c r="E735" t="s">
        <v>13</v>
      </c>
      <c r="F735" t="s">
        <v>20</v>
      </c>
      <c r="G735" t="s">
        <v>21</v>
      </c>
      <c r="H735" t="s">
        <v>22</v>
      </c>
      <c r="I735" t="s">
        <v>48</v>
      </c>
      <c r="J735">
        <v>7</v>
      </c>
      <c r="K735">
        <v>338.39</v>
      </c>
      <c r="L735">
        <v>3.67</v>
      </c>
    </row>
    <row r="736" spans="1:12" x14ac:dyDescent="0.25">
      <c r="A736">
        <v>10735</v>
      </c>
      <c r="B736" t="s">
        <v>988</v>
      </c>
      <c r="C736" t="s">
        <v>449</v>
      </c>
      <c r="D736" t="s">
        <v>867</v>
      </c>
      <c r="E736" t="s">
        <v>31</v>
      </c>
      <c r="F736" t="s">
        <v>20</v>
      </c>
      <c r="G736" t="s">
        <v>21</v>
      </c>
      <c r="H736" t="s">
        <v>22</v>
      </c>
      <c r="I736" t="s">
        <v>38</v>
      </c>
      <c r="J736">
        <v>2</v>
      </c>
      <c r="K736">
        <v>4365.09</v>
      </c>
      <c r="L736">
        <v>616.64</v>
      </c>
    </row>
    <row r="737" spans="1:12" x14ac:dyDescent="0.25">
      <c r="A737">
        <v>10736</v>
      </c>
      <c r="B737" t="s">
        <v>988</v>
      </c>
      <c r="C737" t="s">
        <v>868</v>
      </c>
      <c r="D737" t="s">
        <v>848</v>
      </c>
      <c r="E737" t="s">
        <v>13</v>
      </c>
      <c r="F737" t="s">
        <v>20</v>
      </c>
      <c r="G737" t="s">
        <v>76</v>
      </c>
      <c r="H737" t="s">
        <v>16</v>
      </c>
      <c r="I737" t="s">
        <v>43</v>
      </c>
      <c r="J737">
        <v>3</v>
      </c>
      <c r="K737">
        <v>2573.34</v>
      </c>
      <c r="L737">
        <v>380.21</v>
      </c>
    </row>
    <row r="738" spans="1:12" x14ac:dyDescent="0.25">
      <c r="A738">
        <v>10737</v>
      </c>
      <c r="B738" t="s">
        <v>988</v>
      </c>
      <c r="C738" t="s">
        <v>312</v>
      </c>
      <c r="D738" t="s">
        <v>869</v>
      </c>
      <c r="E738" t="s">
        <v>13</v>
      </c>
      <c r="F738" t="s">
        <v>32</v>
      </c>
      <c r="G738" t="s">
        <v>33</v>
      </c>
      <c r="H738" t="s">
        <v>16</v>
      </c>
      <c r="I738" t="s">
        <v>51</v>
      </c>
      <c r="J738">
        <v>7</v>
      </c>
      <c r="K738">
        <v>1240.83</v>
      </c>
      <c r="L738">
        <v>130.6</v>
      </c>
    </row>
    <row r="739" spans="1:12" x14ac:dyDescent="0.25">
      <c r="A739">
        <v>10738</v>
      </c>
      <c r="B739" t="s">
        <v>988</v>
      </c>
      <c r="C739" t="s">
        <v>403</v>
      </c>
      <c r="D739" t="s">
        <v>870</v>
      </c>
      <c r="E739" t="s">
        <v>13</v>
      </c>
      <c r="F739" t="s">
        <v>32</v>
      </c>
      <c r="G739" t="s">
        <v>33</v>
      </c>
      <c r="H739" t="s">
        <v>22</v>
      </c>
      <c r="I739" t="s">
        <v>23</v>
      </c>
      <c r="J739">
        <v>5</v>
      </c>
      <c r="K739">
        <v>2849.12</v>
      </c>
      <c r="L739">
        <v>174.69</v>
      </c>
    </row>
    <row r="740" spans="1:12" x14ac:dyDescent="0.25">
      <c r="A740">
        <v>10739</v>
      </c>
      <c r="B740" t="s">
        <v>988</v>
      </c>
      <c r="C740" t="s">
        <v>167</v>
      </c>
      <c r="D740" t="s">
        <v>871</v>
      </c>
      <c r="E740" t="s">
        <v>26</v>
      </c>
      <c r="F740" t="s">
        <v>14</v>
      </c>
      <c r="G740" t="s">
        <v>15</v>
      </c>
      <c r="H740" t="s">
        <v>27</v>
      </c>
      <c r="I740" t="s">
        <v>118</v>
      </c>
      <c r="J740">
        <v>2</v>
      </c>
      <c r="K740">
        <v>3325.45</v>
      </c>
      <c r="L740">
        <v>512.20000000000005</v>
      </c>
    </row>
    <row r="741" spans="1:12" x14ac:dyDescent="0.25">
      <c r="A741">
        <v>10740</v>
      </c>
      <c r="B741" t="s">
        <v>988</v>
      </c>
      <c r="C741" t="s">
        <v>157</v>
      </c>
      <c r="D741" t="s">
        <v>872</v>
      </c>
      <c r="E741" t="s">
        <v>26</v>
      </c>
      <c r="F741" t="s">
        <v>46</v>
      </c>
      <c r="G741" t="s">
        <v>47</v>
      </c>
      <c r="H741" t="s">
        <v>22</v>
      </c>
      <c r="I741" t="s">
        <v>38</v>
      </c>
      <c r="J741">
        <v>7</v>
      </c>
      <c r="K741">
        <v>2985.58</v>
      </c>
      <c r="L741">
        <v>422.73</v>
      </c>
    </row>
    <row r="742" spans="1:12" x14ac:dyDescent="0.25">
      <c r="A742">
        <v>10741</v>
      </c>
      <c r="B742" t="s">
        <v>988</v>
      </c>
      <c r="C742" t="s">
        <v>873</v>
      </c>
      <c r="D742" t="s">
        <v>874</v>
      </c>
      <c r="E742" t="s">
        <v>26</v>
      </c>
      <c r="F742" t="s">
        <v>20</v>
      </c>
      <c r="G742" t="s">
        <v>21</v>
      </c>
      <c r="H742" t="s">
        <v>16</v>
      </c>
      <c r="I742" t="s">
        <v>17</v>
      </c>
      <c r="J742">
        <v>7</v>
      </c>
      <c r="K742">
        <v>1360.17</v>
      </c>
      <c r="L742">
        <v>97.06</v>
      </c>
    </row>
    <row r="743" spans="1:12" x14ac:dyDescent="0.25">
      <c r="A743">
        <v>10742</v>
      </c>
      <c r="B743" t="s">
        <v>988</v>
      </c>
      <c r="C743" t="s">
        <v>843</v>
      </c>
      <c r="D743" t="s">
        <v>254</v>
      </c>
      <c r="E743" t="s">
        <v>26</v>
      </c>
      <c r="F743" t="s">
        <v>46</v>
      </c>
      <c r="G743" t="s">
        <v>47</v>
      </c>
      <c r="H743" t="s">
        <v>22</v>
      </c>
      <c r="I743" t="s">
        <v>48</v>
      </c>
      <c r="J743">
        <v>5</v>
      </c>
      <c r="K743">
        <v>4765.6099999999997</v>
      </c>
      <c r="L743">
        <v>1040.8900000000001</v>
      </c>
    </row>
    <row r="744" spans="1:12" x14ac:dyDescent="0.25">
      <c r="A744">
        <v>10743</v>
      </c>
      <c r="B744" t="s">
        <v>988</v>
      </c>
      <c r="C744" t="s">
        <v>163</v>
      </c>
      <c r="D744" t="s">
        <v>465</v>
      </c>
      <c r="E744" t="s">
        <v>26</v>
      </c>
      <c r="F744" t="s">
        <v>14</v>
      </c>
      <c r="G744" t="s">
        <v>37</v>
      </c>
      <c r="H744" t="s">
        <v>27</v>
      </c>
      <c r="I744" t="s">
        <v>118</v>
      </c>
      <c r="J744">
        <v>6</v>
      </c>
      <c r="K744">
        <v>798.06</v>
      </c>
      <c r="L744">
        <v>192.28</v>
      </c>
    </row>
    <row r="745" spans="1:12" x14ac:dyDescent="0.25">
      <c r="A745">
        <v>10744</v>
      </c>
      <c r="B745" t="s">
        <v>988</v>
      </c>
      <c r="C745" t="s">
        <v>786</v>
      </c>
      <c r="D745" t="s">
        <v>875</v>
      </c>
      <c r="E745" t="s">
        <v>26</v>
      </c>
      <c r="F745" t="s">
        <v>46</v>
      </c>
      <c r="G745" t="s">
        <v>71</v>
      </c>
      <c r="H745" t="s">
        <v>27</v>
      </c>
      <c r="I745" t="s">
        <v>77</v>
      </c>
      <c r="J745">
        <v>2</v>
      </c>
      <c r="K745">
        <v>1419.51</v>
      </c>
      <c r="L745">
        <v>128.63</v>
      </c>
    </row>
    <row r="746" spans="1:12" x14ac:dyDescent="0.25">
      <c r="A746">
        <v>10745</v>
      </c>
      <c r="B746" t="s">
        <v>988</v>
      </c>
      <c r="C746" t="s">
        <v>491</v>
      </c>
      <c r="D746" t="s">
        <v>496</v>
      </c>
      <c r="E746" t="s">
        <v>31</v>
      </c>
      <c r="F746" t="s">
        <v>20</v>
      </c>
      <c r="G746" t="s">
        <v>21</v>
      </c>
      <c r="H746" t="s">
        <v>22</v>
      </c>
      <c r="I746" t="s">
        <v>38</v>
      </c>
      <c r="J746">
        <v>2</v>
      </c>
      <c r="K746">
        <v>1306.95</v>
      </c>
      <c r="L746">
        <v>168.07</v>
      </c>
    </row>
    <row r="747" spans="1:12" x14ac:dyDescent="0.25">
      <c r="A747">
        <v>10746</v>
      </c>
      <c r="B747" t="s">
        <v>988</v>
      </c>
      <c r="C747" t="s">
        <v>114</v>
      </c>
      <c r="D747" t="s">
        <v>634</v>
      </c>
      <c r="E747" t="s">
        <v>13</v>
      </c>
      <c r="F747" t="s">
        <v>20</v>
      </c>
      <c r="G747" t="s">
        <v>21</v>
      </c>
      <c r="H747" t="s">
        <v>16</v>
      </c>
      <c r="I747" t="s">
        <v>43</v>
      </c>
      <c r="J747">
        <v>3</v>
      </c>
      <c r="K747">
        <v>1929.2</v>
      </c>
      <c r="L747">
        <v>493.47</v>
      </c>
    </row>
    <row r="748" spans="1:12" x14ac:dyDescent="0.25">
      <c r="A748">
        <v>10747</v>
      </c>
      <c r="B748" t="s">
        <v>988</v>
      </c>
      <c r="C748" t="s">
        <v>648</v>
      </c>
      <c r="D748" t="s">
        <v>224</v>
      </c>
      <c r="E748" t="s">
        <v>13</v>
      </c>
      <c r="F748" t="s">
        <v>20</v>
      </c>
      <c r="G748" t="s">
        <v>21</v>
      </c>
      <c r="H748" t="s">
        <v>22</v>
      </c>
      <c r="I748" t="s">
        <v>34</v>
      </c>
      <c r="J748">
        <v>5</v>
      </c>
      <c r="K748">
        <v>3299.99</v>
      </c>
      <c r="L748">
        <v>297.07</v>
      </c>
    </row>
    <row r="749" spans="1:12" x14ac:dyDescent="0.25">
      <c r="A749">
        <v>10748</v>
      </c>
      <c r="B749" t="s">
        <v>988</v>
      </c>
      <c r="C749" t="s">
        <v>116</v>
      </c>
      <c r="D749" t="s">
        <v>876</v>
      </c>
      <c r="E749" t="s">
        <v>31</v>
      </c>
      <c r="F749" t="s">
        <v>32</v>
      </c>
      <c r="G749" t="s">
        <v>54</v>
      </c>
      <c r="H749" t="s">
        <v>27</v>
      </c>
      <c r="I749" t="s">
        <v>104</v>
      </c>
      <c r="J749">
        <v>5</v>
      </c>
      <c r="K749">
        <v>322.88</v>
      </c>
      <c r="L749">
        <v>19.5</v>
      </c>
    </row>
    <row r="750" spans="1:12" x14ac:dyDescent="0.25">
      <c r="A750">
        <v>10749</v>
      </c>
      <c r="B750" t="s">
        <v>988</v>
      </c>
      <c r="C750" t="s">
        <v>213</v>
      </c>
      <c r="D750" t="s">
        <v>877</v>
      </c>
      <c r="E750" t="s">
        <v>13</v>
      </c>
      <c r="F750" t="s">
        <v>14</v>
      </c>
      <c r="G750" t="s">
        <v>15</v>
      </c>
      <c r="H750" t="s">
        <v>16</v>
      </c>
      <c r="I750" t="s">
        <v>17</v>
      </c>
      <c r="J750">
        <v>7</v>
      </c>
      <c r="K750">
        <v>1133.17</v>
      </c>
      <c r="L750">
        <v>119.46</v>
      </c>
    </row>
    <row r="751" spans="1:12" x14ac:dyDescent="0.25">
      <c r="A751">
        <v>10750</v>
      </c>
      <c r="B751" t="s">
        <v>988</v>
      </c>
      <c r="C751" t="s">
        <v>768</v>
      </c>
      <c r="D751" t="s">
        <v>761</v>
      </c>
      <c r="E751" t="s">
        <v>26</v>
      </c>
      <c r="F751" t="s">
        <v>32</v>
      </c>
      <c r="G751" t="s">
        <v>54</v>
      </c>
      <c r="H751" t="s">
        <v>27</v>
      </c>
      <c r="I751" t="s">
        <v>104</v>
      </c>
      <c r="J751">
        <v>6</v>
      </c>
      <c r="K751">
        <v>1773.99</v>
      </c>
      <c r="L751">
        <v>232.67</v>
      </c>
    </row>
    <row r="752" spans="1:12" x14ac:dyDescent="0.25">
      <c r="A752">
        <v>10751</v>
      </c>
      <c r="B752" t="s">
        <v>988</v>
      </c>
      <c r="C752" t="s">
        <v>703</v>
      </c>
      <c r="D752" t="s">
        <v>139</v>
      </c>
      <c r="E752" t="s">
        <v>26</v>
      </c>
      <c r="F752" t="s">
        <v>14</v>
      </c>
      <c r="G752" t="s">
        <v>37</v>
      </c>
      <c r="H752" t="s">
        <v>22</v>
      </c>
      <c r="I752" t="s">
        <v>23</v>
      </c>
      <c r="J752">
        <v>3</v>
      </c>
      <c r="K752">
        <v>2124.5</v>
      </c>
      <c r="L752">
        <v>511.39</v>
      </c>
    </row>
    <row r="753" spans="1:12" x14ac:dyDescent="0.25">
      <c r="A753">
        <v>10752</v>
      </c>
      <c r="B753" t="s">
        <v>988</v>
      </c>
      <c r="C753" t="s">
        <v>783</v>
      </c>
      <c r="D753" t="s">
        <v>277</v>
      </c>
      <c r="E753" t="s">
        <v>26</v>
      </c>
      <c r="F753" t="s">
        <v>14</v>
      </c>
      <c r="G753" t="s">
        <v>15</v>
      </c>
      <c r="H753" t="s">
        <v>16</v>
      </c>
      <c r="I753" t="s">
        <v>51</v>
      </c>
      <c r="J753">
        <v>2</v>
      </c>
      <c r="K753">
        <v>1829.67</v>
      </c>
      <c r="L753">
        <v>380.52</v>
      </c>
    </row>
    <row r="754" spans="1:12" x14ac:dyDescent="0.25">
      <c r="A754">
        <v>10753</v>
      </c>
      <c r="B754" t="s">
        <v>988</v>
      </c>
      <c r="C754" t="s">
        <v>878</v>
      </c>
      <c r="D754" t="s">
        <v>561</v>
      </c>
      <c r="E754" t="s">
        <v>13</v>
      </c>
      <c r="F754" t="s">
        <v>14</v>
      </c>
      <c r="G754" t="s">
        <v>15</v>
      </c>
      <c r="H754" t="s">
        <v>27</v>
      </c>
      <c r="I754" t="s">
        <v>28</v>
      </c>
      <c r="J754">
        <v>4</v>
      </c>
      <c r="K754">
        <v>2278.4299999999998</v>
      </c>
      <c r="L754">
        <v>238.12</v>
      </c>
    </row>
    <row r="755" spans="1:12" x14ac:dyDescent="0.25">
      <c r="A755">
        <v>10754</v>
      </c>
      <c r="B755" t="s">
        <v>988</v>
      </c>
      <c r="C755" t="s">
        <v>878</v>
      </c>
      <c r="D755" t="s">
        <v>723</v>
      </c>
      <c r="E755" t="s">
        <v>13</v>
      </c>
      <c r="F755" t="s">
        <v>32</v>
      </c>
      <c r="G755" t="s">
        <v>33</v>
      </c>
      <c r="H755" t="s">
        <v>22</v>
      </c>
      <c r="I755" t="s">
        <v>38</v>
      </c>
      <c r="J755">
        <v>4</v>
      </c>
      <c r="K755">
        <v>1247.8599999999999</v>
      </c>
      <c r="L755">
        <v>180.14</v>
      </c>
    </row>
    <row r="756" spans="1:12" x14ac:dyDescent="0.25">
      <c r="A756">
        <v>10755</v>
      </c>
      <c r="B756" t="s">
        <v>988</v>
      </c>
      <c r="C756" t="s">
        <v>324</v>
      </c>
      <c r="D756" t="s">
        <v>806</v>
      </c>
      <c r="E756" t="s">
        <v>13</v>
      </c>
      <c r="F756" t="s">
        <v>46</v>
      </c>
      <c r="G756" t="s">
        <v>71</v>
      </c>
      <c r="H756" t="s">
        <v>22</v>
      </c>
      <c r="I756" t="s">
        <v>34</v>
      </c>
      <c r="J756">
        <v>2</v>
      </c>
      <c r="K756">
        <v>4362.59</v>
      </c>
      <c r="L756">
        <v>789.42</v>
      </c>
    </row>
    <row r="757" spans="1:12" x14ac:dyDescent="0.25">
      <c r="A757">
        <v>10756</v>
      </c>
      <c r="B757" t="s">
        <v>988</v>
      </c>
      <c r="C757" t="s">
        <v>88</v>
      </c>
      <c r="D757" t="s">
        <v>879</v>
      </c>
      <c r="E757" t="s">
        <v>31</v>
      </c>
      <c r="F757" t="s">
        <v>46</v>
      </c>
      <c r="G757" t="s">
        <v>71</v>
      </c>
      <c r="H757" t="s">
        <v>16</v>
      </c>
      <c r="I757" t="s">
        <v>43</v>
      </c>
      <c r="J757">
        <v>2</v>
      </c>
      <c r="K757">
        <v>724.41</v>
      </c>
      <c r="L757">
        <v>119.74</v>
      </c>
    </row>
    <row r="758" spans="1:12" x14ac:dyDescent="0.25">
      <c r="A758">
        <v>10757</v>
      </c>
      <c r="B758" t="s">
        <v>988</v>
      </c>
      <c r="C758" t="s">
        <v>18</v>
      </c>
      <c r="D758" t="s">
        <v>465</v>
      </c>
      <c r="E758" t="s">
        <v>31</v>
      </c>
      <c r="F758" t="s">
        <v>46</v>
      </c>
      <c r="G758" t="s">
        <v>71</v>
      </c>
      <c r="H758" t="s">
        <v>16</v>
      </c>
      <c r="I758" t="s">
        <v>17</v>
      </c>
      <c r="J758">
        <v>8</v>
      </c>
      <c r="K758">
        <v>109.58</v>
      </c>
      <c r="L758">
        <v>-50.13</v>
      </c>
    </row>
    <row r="759" spans="1:12" x14ac:dyDescent="0.25">
      <c r="A759">
        <v>10758</v>
      </c>
      <c r="B759" t="s">
        <v>988</v>
      </c>
      <c r="C759" t="s">
        <v>880</v>
      </c>
      <c r="D759" t="s">
        <v>655</v>
      </c>
      <c r="E759" t="s">
        <v>31</v>
      </c>
      <c r="F759" t="s">
        <v>20</v>
      </c>
      <c r="G759" t="s">
        <v>76</v>
      </c>
      <c r="H759" t="s">
        <v>27</v>
      </c>
      <c r="I759" t="s">
        <v>118</v>
      </c>
      <c r="J759">
        <v>8</v>
      </c>
      <c r="K759">
        <v>2528.3200000000002</v>
      </c>
      <c r="L759">
        <v>449.02</v>
      </c>
    </row>
    <row r="760" spans="1:12" x14ac:dyDescent="0.25">
      <c r="A760">
        <v>10759</v>
      </c>
      <c r="B760" t="s">
        <v>988</v>
      </c>
      <c r="C760" t="s">
        <v>728</v>
      </c>
      <c r="D760" t="s">
        <v>666</v>
      </c>
      <c r="E760" t="s">
        <v>26</v>
      </c>
      <c r="F760" t="s">
        <v>20</v>
      </c>
      <c r="G760" t="s">
        <v>76</v>
      </c>
      <c r="H760" t="s">
        <v>27</v>
      </c>
      <c r="I760" t="s">
        <v>118</v>
      </c>
      <c r="J760">
        <v>7</v>
      </c>
      <c r="K760">
        <v>1053.58</v>
      </c>
      <c r="L760">
        <v>17.05</v>
      </c>
    </row>
    <row r="761" spans="1:12" x14ac:dyDescent="0.25">
      <c r="A761">
        <v>10760</v>
      </c>
      <c r="B761" t="s">
        <v>988</v>
      </c>
      <c r="C761" t="s">
        <v>881</v>
      </c>
      <c r="D761" t="s">
        <v>882</v>
      </c>
      <c r="E761" t="s">
        <v>31</v>
      </c>
      <c r="F761" t="s">
        <v>20</v>
      </c>
      <c r="G761" t="s">
        <v>21</v>
      </c>
      <c r="H761" t="s">
        <v>22</v>
      </c>
      <c r="I761" t="s">
        <v>48</v>
      </c>
      <c r="J761">
        <v>3</v>
      </c>
      <c r="K761">
        <v>1713.2</v>
      </c>
      <c r="L761">
        <v>50.05</v>
      </c>
    </row>
    <row r="762" spans="1:12" x14ac:dyDescent="0.25">
      <c r="A762">
        <v>10761</v>
      </c>
      <c r="B762" t="s">
        <v>988</v>
      </c>
      <c r="C762" t="s">
        <v>301</v>
      </c>
      <c r="D762" t="s">
        <v>810</v>
      </c>
      <c r="E762" t="s">
        <v>26</v>
      </c>
      <c r="F762" t="s">
        <v>14</v>
      </c>
      <c r="G762" t="s">
        <v>37</v>
      </c>
      <c r="H762" t="s">
        <v>27</v>
      </c>
      <c r="I762" t="s">
        <v>104</v>
      </c>
      <c r="J762">
        <v>2</v>
      </c>
      <c r="K762">
        <v>2420.52</v>
      </c>
      <c r="L762">
        <v>617.97</v>
      </c>
    </row>
    <row r="763" spans="1:12" x14ac:dyDescent="0.25">
      <c r="A763">
        <v>10762</v>
      </c>
      <c r="B763" t="s">
        <v>988</v>
      </c>
      <c r="C763" t="s">
        <v>112</v>
      </c>
      <c r="D763" t="s">
        <v>883</v>
      </c>
      <c r="E763" t="s">
        <v>13</v>
      </c>
      <c r="F763" t="s">
        <v>14</v>
      </c>
      <c r="G763" t="s">
        <v>37</v>
      </c>
      <c r="H763" t="s">
        <v>22</v>
      </c>
      <c r="I763" t="s">
        <v>34</v>
      </c>
      <c r="J763">
        <v>2</v>
      </c>
      <c r="K763">
        <v>519.12</v>
      </c>
      <c r="L763">
        <v>30.5</v>
      </c>
    </row>
    <row r="764" spans="1:12" x14ac:dyDescent="0.25">
      <c r="A764">
        <v>10763</v>
      </c>
      <c r="B764" t="s">
        <v>988</v>
      </c>
      <c r="C764" t="s">
        <v>585</v>
      </c>
      <c r="D764" t="s">
        <v>884</v>
      </c>
      <c r="E764" t="s">
        <v>13</v>
      </c>
      <c r="F764" t="s">
        <v>14</v>
      </c>
      <c r="G764" t="s">
        <v>15</v>
      </c>
      <c r="H764" t="s">
        <v>22</v>
      </c>
      <c r="I764" t="s">
        <v>34</v>
      </c>
      <c r="J764">
        <v>1</v>
      </c>
      <c r="K764">
        <v>1577.21</v>
      </c>
      <c r="L764">
        <v>319.19</v>
      </c>
    </row>
    <row r="765" spans="1:12" x14ac:dyDescent="0.25">
      <c r="A765">
        <v>10764</v>
      </c>
      <c r="B765" t="s">
        <v>988</v>
      </c>
      <c r="C765" t="s">
        <v>63</v>
      </c>
      <c r="D765" t="s">
        <v>814</v>
      </c>
      <c r="E765" t="s">
        <v>26</v>
      </c>
      <c r="F765" t="s">
        <v>14</v>
      </c>
      <c r="G765" t="s">
        <v>37</v>
      </c>
      <c r="H765" t="s">
        <v>27</v>
      </c>
      <c r="I765" t="s">
        <v>77</v>
      </c>
      <c r="J765">
        <v>2</v>
      </c>
      <c r="K765">
        <v>3124.78</v>
      </c>
      <c r="L765">
        <v>390.94</v>
      </c>
    </row>
    <row r="766" spans="1:12" x14ac:dyDescent="0.25">
      <c r="A766">
        <v>10765</v>
      </c>
      <c r="B766" t="s">
        <v>988</v>
      </c>
      <c r="C766" t="s">
        <v>245</v>
      </c>
      <c r="D766" t="s">
        <v>885</v>
      </c>
      <c r="E766" t="s">
        <v>31</v>
      </c>
      <c r="F766" t="s">
        <v>20</v>
      </c>
      <c r="G766" t="s">
        <v>76</v>
      </c>
      <c r="H766" t="s">
        <v>27</v>
      </c>
      <c r="I766" t="s">
        <v>77</v>
      </c>
      <c r="J766">
        <v>2</v>
      </c>
      <c r="K766">
        <v>1764.12</v>
      </c>
      <c r="L766">
        <v>423.42</v>
      </c>
    </row>
    <row r="767" spans="1:12" x14ac:dyDescent="0.25">
      <c r="A767">
        <v>10766</v>
      </c>
      <c r="B767" t="s">
        <v>988</v>
      </c>
      <c r="C767" t="s">
        <v>886</v>
      </c>
      <c r="D767" t="s">
        <v>99</v>
      </c>
      <c r="E767" t="s">
        <v>13</v>
      </c>
      <c r="F767" t="s">
        <v>46</v>
      </c>
      <c r="G767" t="s">
        <v>71</v>
      </c>
      <c r="H767" t="s">
        <v>22</v>
      </c>
      <c r="I767" t="s">
        <v>23</v>
      </c>
      <c r="J767">
        <v>2</v>
      </c>
      <c r="K767">
        <v>3005.14</v>
      </c>
      <c r="L767">
        <v>691.48</v>
      </c>
    </row>
    <row r="768" spans="1:12" x14ac:dyDescent="0.25">
      <c r="A768">
        <v>10767</v>
      </c>
      <c r="B768" t="s">
        <v>988</v>
      </c>
      <c r="C768" t="s">
        <v>745</v>
      </c>
      <c r="D768" t="s">
        <v>675</v>
      </c>
      <c r="E768" t="s">
        <v>13</v>
      </c>
      <c r="F768" t="s">
        <v>32</v>
      </c>
      <c r="G768" t="s">
        <v>54</v>
      </c>
      <c r="H768" t="s">
        <v>27</v>
      </c>
      <c r="I768" t="s">
        <v>77</v>
      </c>
      <c r="J768">
        <v>8</v>
      </c>
      <c r="K768">
        <v>1011.02</v>
      </c>
      <c r="L768">
        <v>80.94</v>
      </c>
    </row>
    <row r="769" spans="1:12" x14ac:dyDescent="0.25">
      <c r="A769">
        <v>10768</v>
      </c>
      <c r="B769" t="s">
        <v>988</v>
      </c>
      <c r="C769" t="s">
        <v>446</v>
      </c>
      <c r="D769" t="s">
        <v>887</v>
      </c>
      <c r="E769" t="s">
        <v>13</v>
      </c>
      <c r="F769" t="s">
        <v>20</v>
      </c>
      <c r="G769" t="s">
        <v>76</v>
      </c>
      <c r="H769" t="s">
        <v>27</v>
      </c>
      <c r="I769" t="s">
        <v>104</v>
      </c>
      <c r="J769">
        <v>3</v>
      </c>
      <c r="K769">
        <v>2400.67</v>
      </c>
      <c r="L769">
        <v>453.03</v>
      </c>
    </row>
    <row r="770" spans="1:12" x14ac:dyDescent="0.25">
      <c r="A770">
        <v>10769</v>
      </c>
      <c r="B770" t="s">
        <v>988</v>
      </c>
      <c r="C770" t="s">
        <v>709</v>
      </c>
      <c r="D770" t="s">
        <v>888</v>
      </c>
      <c r="E770" t="s">
        <v>26</v>
      </c>
      <c r="F770" t="s">
        <v>46</v>
      </c>
      <c r="G770" t="s">
        <v>71</v>
      </c>
      <c r="H770" t="s">
        <v>22</v>
      </c>
      <c r="I770" t="s">
        <v>23</v>
      </c>
      <c r="J770">
        <v>7</v>
      </c>
      <c r="K770">
        <v>1784.7</v>
      </c>
      <c r="L770">
        <v>460.87</v>
      </c>
    </row>
    <row r="771" spans="1:12" x14ac:dyDescent="0.25">
      <c r="A771">
        <v>10770</v>
      </c>
      <c r="B771" t="s">
        <v>988</v>
      </c>
      <c r="C771" t="s">
        <v>132</v>
      </c>
      <c r="D771" t="s">
        <v>120</v>
      </c>
      <c r="E771" t="s">
        <v>31</v>
      </c>
      <c r="F771" t="s">
        <v>32</v>
      </c>
      <c r="G771" t="s">
        <v>33</v>
      </c>
      <c r="H771" t="s">
        <v>16</v>
      </c>
      <c r="I771" t="s">
        <v>51</v>
      </c>
      <c r="J771">
        <v>8</v>
      </c>
      <c r="K771">
        <v>3038.84</v>
      </c>
      <c r="L771">
        <v>345.68</v>
      </c>
    </row>
    <row r="772" spans="1:12" x14ac:dyDescent="0.25">
      <c r="A772">
        <v>10771</v>
      </c>
      <c r="B772" t="s">
        <v>988</v>
      </c>
      <c r="C772" t="s">
        <v>82</v>
      </c>
      <c r="D772" t="s">
        <v>889</v>
      </c>
      <c r="E772" t="s">
        <v>26</v>
      </c>
      <c r="F772" t="s">
        <v>20</v>
      </c>
      <c r="G772" t="s">
        <v>76</v>
      </c>
      <c r="H772" t="s">
        <v>22</v>
      </c>
      <c r="I772" t="s">
        <v>23</v>
      </c>
      <c r="J772">
        <v>8</v>
      </c>
      <c r="K772">
        <v>4392.92</v>
      </c>
      <c r="L772">
        <v>1170.04</v>
      </c>
    </row>
    <row r="773" spans="1:12" x14ac:dyDescent="0.25">
      <c r="A773">
        <v>10772</v>
      </c>
      <c r="B773" t="s">
        <v>988</v>
      </c>
      <c r="C773" t="s">
        <v>351</v>
      </c>
      <c r="D773" t="s">
        <v>633</v>
      </c>
      <c r="E773" t="s">
        <v>31</v>
      </c>
      <c r="F773" t="s">
        <v>46</v>
      </c>
      <c r="G773" t="s">
        <v>47</v>
      </c>
      <c r="H773" t="s">
        <v>16</v>
      </c>
      <c r="I773" t="s">
        <v>43</v>
      </c>
      <c r="J773">
        <v>4</v>
      </c>
      <c r="K773">
        <v>2455.66</v>
      </c>
      <c r="L773">
        <v>513.02</v>
      </c>
    </row>
    <row r="774" spans="1:12" x14ac:dyDescent="0.25">
      <c r="A774">
        <v>10773</v>
      </c>
      <c r="B774" t="s">
        <v>988</v>
      </c>
      <c r="C774" t="s">
        <v>169</v>
      </c>
      <c r="D774" t="s">
        <v>798</v>
      </c>
      <c r="E774" t="s">
        <v>13</v>
      </c>
      <c r="F774" t="s">
        <v>46</v>
      </c>
      <c r="G774" t="s">
        <v>71</v>
      </c>
      <c r="H774" t="s">
        <v>27</v>
      </c>
      <c r="I774" t="s">
        <v>118</v>
      </c>
      <c r="J774">
        <v>2</v>
      </c>
      <c r="K774">
        <v>1853.64</v>
      </c>
      <c r="L774">
        <v>335.49</v>
      </c>
    </row>
    <row r="775" spans="1:12" x14ac:dyDescent="0.25">
      <c r="A775">
        <v>10774</v>
      </c>
      <c r="B775" t="s">
        <v>988</v>
      </c>
      <c r="C775" t="s">
        <v>119</v>
      </c>
      <c r="D775" t="s">
        <v>890</v>
      </c>
      <c r="E775" t="s">
        <v>13</v>
      </c>
      <c r="F775" t="s">
        <v>32</v>
      </c>
      <c r="G775" t="s">
        <v>33</v>
      </c>
      <c r="H775" t="s">
        <v>22</v>
      </c>
      <c r="I775" t="s">
        <v>48</v>
      </c>
      <c r="J775">
        <v>4</v>
      </c>
      <c r="K775">
        <v>1492.09</v>
      </c>
      <c r="L775">
        <v>130.08000000000001</v>
      </c>
    </row>
    <row r="776" spans="1:12" x14ac:dyDescent="0.25">
      <c r="A776">
        <v>10775</v>
      </c>
      <c r="B776" t="s">
        <v>988</v>
      </c>
      <c r="C776" t="s">
        <v>585</v>
      </c>
      <c r="D776" t="s">
        <v>891</v>
      </c>
      <c r="E776" t="s">
        <v>31</v>
      </c>
      <c r="F776" t="s">
        <v>46</v>
      </c>
      <c r="G776" t="s">
        <v>71</v>
      </c>
      <c r="H776" t="s">
        <v>22</v>
      </c>
      <c r="I776" t="s">
        <v>23</v>
      </c>
      <c r="J776">
        <v>3</v>
      </c>
      <c r="K776">
        <v>4230.12</v>
      </c>
      <c r="L776">
        <v>1172.45</v>
      </c>
    </row>
    <row r="777" spans="1:12" x14ac:dyDescent="0.25">
      <c r="A777">
        <v>10776</v>
      </c>
      <c r="B777" t="s">
        <v>988</v>
      </c>
      <c r="C777" t="s">
        <v>283</v>
      </c>
      <c r="D777" t="s">
        <v>724</v>
      </c>
      <c r="E777" t="s">
        <v>13</v>
      </c>
      <c r="F777" t="s">
        <v>14</v>
      </c>
      <c r="G777" t="s">
        <v>37</v>
      </c>
      <c r="H777" t="s">
        <v>22</v>
      </c>
      <c r="I777" t="s">
        <v>38</v>
      </c>
      <c r="J777">
        <v>8</v>
      </c>
      <c r="K777">
        <v>1276.73</v>
      </c>
      <c r="L777">
        <v>256.12</v>
      </c>
    </row>
    <row r="778" spans="1:12" x14ac:dyDescent="0.25">
      <c r="A778">
        <v>10777</v>
      </c>
      <c r="B778" t="s">
        <v>988</v>
      </c>
      <c r="C778" t="s">
        <v>211</v>
      </c>
      <c r="D778" t="s">
        <v>498</v>
      </c>
      <c r="E778" t="s">
        <v>13</v>
      </c>
      <c r="F778" t="s">
        <v>20</v>
      </c>
      <c r="G778" t="s">
        <v>21</v>
      </c>
      <c r="H778" t="s">
        <v>22</v>
      </c>
      <c r="I778" t="s">
        <v>48</v>
      </c>
      <c r="J778">
        <v>3</v>
      </c>
      <c r="K778">
        <v>3995</v>
      </c>
      <c r="L778">
        <v>353.37</v>
      </c>
    </row>
    <row r="779" spans="1:12" x14ac:dyDescent="0.25">
      <c r="A779">
        <v>10778</v>
      </c>
      <c r="B779" t="s">
        <v>988</v>
      </c>
      <c r="C779" t="s">
        <v>878</v>
      </c>
      <c r="D779" t="s">
        <v>385</v>
      </c>
      <c r="E779" t="s">
        <v>26</v>
      </c>
      <c r="F779" t="s">
        <v>20</v>
      </c>
      <c r="G779" t="s">
        <v>21</v>
      </c>
      <c r="H779" t="s">
        <v>22</v>
      </c>
      <c r="I779" t="s">
        <v>48</v>
      </c>
      <c r="J779">
        <v>5</v>
      </c>
      <c r="K779">
        <v>3968.98</v>
      </c>
      <c r="L779">
        <v>518.26</v>
      </c>
    </row>
    <row r="780" spans="1:12" x14ac:dyDescent="0.25">
      <c r="A780">
        <v>10779</v>
      </c>
      <c r="B780" t="s">
        <v>988</v>
      </c>
      <c r="C780" t="s">
        <v>529</v>
      </c>
      <c r="D780" t="s">
        <v>131</v>
      </c>
      <c r="E780" t="s">
        <v>13</v>
      </c>
      <c r="F780" t="s">
        <v>20</v>
      </c>
      <c r="G780" t="s">
        <v>21</v>
      </c>
      <c r="H780" t="s">
        <v>16</v>
      </c>
      <c r="I780" t="s">
        <v>81</v>
      </c>
      <c r="J780">
        <v>8</v>
      </c>
      <c r="K780">
        <v>3975.89</v>
      </c>
      <c r="L780">
        <v>793.23</v>
      </c>
    </row>
    <row r="781" spans="1:12" x14ac:dyDescent="0.25">
      <c r="A781">
        <v>10780</v>
      </c>
      <c r="B781" t="s">
        <v>988</v>
      </c>
      <c r="C781" t="s">
        <v>339</v>
      </c>
      <c r="D781" t="s">
        <v>892</v>
      </c>
      <c r="E781" t="s">
        <v>31</v>
      </c>
      <c r="F781" t="s">
        <v>32</v>
      </c>
      <c r="G781" t="s">
        <v>54</v>
      </c>
      <c r="H781" t="s">
        <v>16</v>
      </c>
      <c r="I781" t="s">
        <v>51</v>
      </c>
      <c r="J781">
        <v>3</v>
      </c>
      <c r="K781">
        <v>1676.93</v>
      </c>
      <c r="L781">
        <v>171.14</v>
      </c>
    </row>
    <row r="782" spans="1:12" x14ac:dyDescent="0.25">
      <c r="A782">
        <v>10781</v>
      </c>
      <c r="B782" t="s">
        <v>988</v>
      </c>
      <c r="C782" t="s">
        <v>451</v>
      </c>
      <c r="D782" t="s">
        <v>202</v>
      </c>
      <c r="E782" t="s">
        <v>13</v>
      </c>
      <c r="F782" t="s">
        <v>20</v>
      </c>
      <c r="G782" t="s">
        <v>21</v>
      </c>
      <c r="H782" t="s">
        <v>22</v>
      </c>
      <c r="I782" t="s">
        <v>48</v>
      </c>
      <c r="J782">
        <v>4</v>
      </c>
      <c r="K782">
        <v>2315.19</v>
      </c>
      <c r="L782">
        <v>229.56</v>
      </c>
    </row>
    <row r="783" spans="1:12" x14ac:dyDescent="0.25">
      <c r="A783">
        <v>10782</v>
      </c>
      <c r="B783" t="s">
        <v>988</v>
      </c>
      <c r="C783" t="s">
        <v>637</v>
      </c>
      <c r="D783" t="s">
        <v>893</v>
      </c>
      <c r="E783" t="s">
        <v>26</v>
      </c>
      <c r="F783" t="s">
        <v>46</v>
      </c>
      <c r="G783" t="s">
        <v>47</v>
      </c>
      <c r="H783" t="s">
        <v>27</v>
      </c>
      <c r="I783" t="s">
        <v>118</v>
      </c>
      <c r="J783">
        <v>3</v>
      </c>
      <c r="K783">
        <v>3782.95</v>
      </c>
      <c r="L783">
        <v>416.3</v>
      </c>
    </row>
    <row r="784" spans="1:12" x14ac:dyDescent="0.25">
      <c r="A784">
        <v>10783</v>
      </c>
      <c r="B784" t="s">
        <v>988</v>
      </c>
      <c r="C784" t="s">
        <v>894</v>
      </c>
      <c r="D784" t="s">
        <v>833</v>
      </c>
      <c r="E784" t="s">
        <v>26</v>
      </c>
      <c r="F784" t="s">
        <v>20</v>
      </c>
      <c r="G784" t="s">
        <v>76</v>
      </c>
      <c r="H784" t="s">
        <v>27</v>
      </c>
      <c r="I784" t="s">
        <v>77</v>
      </c>
      <c r="J784">
        <v>8</v>
      </c>
      <c r="K784">
        <v>2219.2800000000002</v>
      </c>
      <c r="L784">
        <v>265.11</v>
      </c>
    </row>
    <row r="785" spans="1:12" x14ac:dyDescent="0.25">
      <c r="A785">
        <v>10784</v>
      </c>
      <c r="B785" t="s">
        <v>988</v>
      </c>
      <c r="C785" t="s">
        <v>499</v>
      </c>
      <c r="D785" t="s">
        <v>708</v>
      </c>
      <c r="E785" t="s">
        <v>13</v>
      </c>
      <c r="F785" t="s">
        <v>46</v>
      </c>
      <c r="G785" t="s">
        <v>47</v>
      </c>
      <c r="H785" t="s">
        <v>22</v>
      </c>
      <c r="I785" t="s">
        <v>38</v>
      </c>
      <c r="J785">
        <v>2</v>
      </c>
      <c r="K785">
        <v>1859.56</v>
      </c>
      <c r="L785">
        <v>47.03</v>
      </c>
    </row>
    <row r="786" spans="1:12" x14ac:dyDescent="0.25">
      <c r="A786">
        <v>10785</v>
      </c>
      <c r="B786" t="s">
        <v>988</v>
      </c>
      <c r="C786" t="s">
        <v>895</v>
      </c>
      <c r="D786" t="s">
        <v>816</v>
      </c>
      <c r="E786" t="s">
        <v>31</v>
      </c>
      <c r="F786" t="s">
        <v>14</v>
      </c>
      <c r="G786" t="s">
        <v>37</v>
      </c>
      <c r="H786" t="s">
        <v>22</v>
      </c>
      <c r="I786" t="s">
        <v>23</v>
      </c>
      <c r="J786">
        <v>2</v>
      </c>
      <c r="K786">
        <v>449.61</v>
      </c>
      <c r="L786">
        <v>6.75</v>
      </c>
    </row>
    <row r="787" spans="1:12" x14ac:dyDescent="0.25">
      <c r="A787">
        <v>10786</v>
      </c>
      <c r="B787" t="s">
        <v>988</v>
      </c>
      <c r="C787" t="s">
        <v>201</v>
      </c>
      <c r="D787" t="s">
        <v>367</v>
      </c>
      <c r="E787" t="s">
        <v>26</v>
      </c>
      <c r="F787" t="s">
        <v>32</v>
      </c>
      <c r="G787" t="s">
        <v>54</v>
      </c>
      <c r="H787" t="s">
        <v>16</v>
      </c>
      <c r="I787" t="s">
        <v>17</v>
      </c>
      <c r="J787">
        <v>4</v>
      </c>
      <c r="K787">
        <v>3557.65</v>
      </c>
      <c r="L787">
        <v>965.67</v>
      </c>
    </row>
    <row r="788" spans="1:12" x14ac:dyDescent="0.25">
      <c r="A788">
        <v>10787</v>
      </c>
      <c r="B788" t="s">
        <v>988</v>
      </c>
      <c r="C788" t="s">
        <v>896</v>
      </c>
      <c r="D788" t="s">
        <v>799</v>
      </c>
      <c r="E788" t="s">
        <v>26</v>
      </c>
      <c r="F788" t="s">
        <v>32</v>
      </c>
      <c r="G788" t="s">
        <v>54</v>
      </c>
      <c r="H788" t="s">
        <v>27</v>
      </c>
      <c r="I788" t="s">
        <v>77</v>
      </c>
      <c r="J788">
        <v>7</v>
      </c>
      <c r="K788">
        <v>4127.12</v>
      </c>
      <c r="L788">
        <v>987.06</v>
      </c>
    </row>
    <row r="789" spans="1:12" x14ac:dyDescent="0.25">
      <c r="A789">
        <v>10788</v>
      </c>
      <c r="B789" t="s">
        <v>988</v>
      </c>
      <c r="C789" t="s">
        <v>55</v>
      </c>
      <c r="D789" t="s">
        <v>897</v>
      </c>
      <c r="E789" t="s">
        <v>31</v>
      </c>
      <c r="F789" t="s">
        <v>20</v>
      </c>
      <c r="G789" t="s">
        <v>21</v>
      </c>
      <c r="H789" t="s">
        <v>22</v>
      </c>
      <c r="I789" t="s">
        <v>48</v>
      </c>
      <c r="J789">
        <v>8</v>
      </c>
      <c r="K789">
        <v>1245.24</v>
      </c>
      <c r="L789">
        <v>189.74</v>
      </c>
    </row>
    <row r="790" spans="1:12" x14ac:dyDescent="0.25">
      <c r="A790">
        <v>10789</v>
      </c>
      <c r="B790" t="s">
        <v>988</v>
      </c>
      <c r="C790" t="s">
        <v>155</v>
      </c>
      <c r="D790" t="s">
        <v>898</v>
      </c>
      <c r="E790" t="s">
        <v>13</v>
      </c>
      <c r="F790" t="s">
        <v>32</v>
      </c>
      <c r="G790" t="s">
        <v>33</v>
      </c>
      <c r="H790" t="s">
        <v>27</v>
      </c>
      <c r="I790" t="s">
        <v>104</v>
      </c>
      <c r="J790">
        <v>7</v>
      </c>
      <c r="K790">
        <v>3873.64</v>
      </c>
      <c r="L790">
        <v>848.62</v>
      </c>
    </row>
    <row r="791" spans="1:12" x14ac:dyDescent="0.25">
      <c r="A791">
        <v>10790</v>
      </c>
      <c r="B791" t="s">
        <v>988</v>
      </c>
      <c r="C791" t="s">
        <v>39</v>
      </c>
      <c r="D791" t="s">
        <v>890</v>
      </c>
      <c r="E791" t="s">
        <v>26</v>
      </c>
      <c r="F791" t="s">
        <v>14</v>
      </c>
      <c r="G791" t="s">
        <v>37</v>
      </c>
      <c r="H791" t="s">
        <v>22</v>
      </c>
      <c r="I791" t="s">
        <v>48</v>
      </c>
      <c r="J791">
        <v>5</v>
      </c>
      <c r="K791">
        <v>4722.43</v>
      </c>
      <c r="L791">
        <v>166.51</v>
      </c>
    </row>
    <row r="792" spans="1:12" x14ac:dyDescent="0.25">
      <c r="A792">
        <v>10791</v>
      </c>
      <c r="B792" t="s">
        <v>988</v>
      </c>
      <c r="C792" t="s">
        <v>49</v>
      </c>
      <c r="D792" t="s">
        <v>899</v>
      </c>
      <c r="E792" t="s">
        <v>31</v>
      </c>
      <c r="F792" t="s">
        <v>20</v>
      </c>
      <c r="G792" t="s">
        <v>76</v>
      </c>
      <c r="H792" t="s">
        <v>16</v>
      </c>
      <c r="I792" t="s">
        <v>51</v>
      </c>
      <c r="J792">
        <v>5</v>
      </c>
      <c r="K792">
        <v>1697.79</v>
      </c>
      <c r="L792">
        <v>16.22</v>
      </c>
    </row>
    <row r="793" spans="1:12" x14ac:dyDescent="0.25">
      <c r="A793">
        <v>10792</v>
      </c>
      <c r="B793" t="s">
        <v>988</v>
      </c>
      <c r="C793" t="s">
        <v>475</v>
      </c>
      <c r="D793" t="s">
        <v>900</v>
      </c>
      <c r="E793" t="s">
        <v>13</v>
      </c>
      <c r="F793" t="s">
        <v>20</v>
      </c>
      <c r="G793" t="s">
        <v>76</v>
      </c>
      <c r="H793" t="s">
        <v>22</v>
      </c>
      <c r="I793" t="s">
        <v>34</v>
      </c>
      <c r="J793">
        <v>2</v>
      </c>
      <c r="K793">
        <v>2719</v>
      </c>
      <c r="L793">
        <v>253.11</v>
      </c>
    </row>
    <row r="794" spans="1:12" x14ac:dyDescent="0.25">
      <c r="A794">
        <v>10793</v>
      </c>
      <c r="B794" t="s">
        <v>988</v>
      </c>
      <c r="C794" t="s">
        <v>901</v>
      </c>
      <c r="D794" t="s">
        <v>217</v>
      </c>
      <c r="E794" t="s">
        <v>26</v>
      </c>
      <c r="F794" t="s">
        <v>32</v>
      </c>
      <c r="G794" t="s">
        <v>33</v>
      </c>
      <c r="H794" t="s">
        <v>22</v>
      </c>
      <c r="I794" t="s">
        <v>23</v>
      </c>
      <c r="J794">
        <v>3</v>
      </c>
      <c r="K794">
        <v>257.08999999999997</v>
      </c>
      <c r="L794">
        <v>8.2799999999999994</v>
      </c>
    </row>
    <row r="795" spans="1:12" x14ac:dyDescent="0.25">
      <c r="A795">
        <v>10794</v>
      </c>
      <c r="B795" t="s">
        <v>988</v>
      </c>
      <c r="C795" t="s">
        <v>687</v>
      </c>
      <c r="D795" t="s">
        <v>902</v>
      </c>
      <c r="E795" t="s">
        <v>26</v>
      </c>
      <c r="F795" t="s">
        <v>20</v>
      </c>
      <c r="G795" t="s">
        <v>76</v>
      </c>
      <c r="H795" t="s">
        <v>22</v>
      </c>
      <c r="I795" t="s">
        <v>48</v>
      </c>
      <c r="J795">
        <v>5</v>
      </c>
      <c r="K795">
        <v>3331.89</v>
      </c>
      <c r="L795">
        <v>219.14</v>
      </c>
    </row>
    <row r="796" spans="1:12" x14ac:dyDescent="0.25">
      <c r="A796">
        <v>10795</v>
      </c>
      <c r="B796" t="s">
        <v>988</v>
      </c>
      <c r="C796" t="s">
        <v>819</v>
      </c>
      <c r="D796" t="s">
        <v>747</v>
      </c>
      <c r="E796" t="s">
        <v>26</v>
      </c>
      <c r="F796" t="s">
        <v>32</v>
      </c>
      <c r="G796" t="s">
        <v>54</v>
      </c>
      <c r="H796" t="s">
        <v>27</v>
      </c>
      <c r="I796" t="s">
        <v>104</v>
      </c>
      <c r="J796">
        <v>2</v>
      </c>
      <c r="K796">
        <v>732.77</v>
      </c>
      <c r="L796">
        <v>38.97</v>
      </c>
    </row>
    <row r="797" spans="1:12" x14ac:dyDescent="0.25">
      <c r="A797">
        <v>10796</v>
      </c>
      <c r="B797" t="s">
        <v>988</v>
      </c>
      <c r="C797" t="s">
        <v>709</v>
      </c>
      <c r="D797" t="s">
        <v>535</v>
      </c>
      <c r="E797" t="s">
        <v>13</v>
      </c>
      <c r="F797" t="s">
        <v>46</v>
      </c>
      <c r="G797" t="s">
        <v>71</v>
      </c>
      <c r="H797" t="s">
        <v>27</v>
      </c>
      <c r="I797" t="s">
        <v>77</v>
      </c>
      <c r="J797">
        <v>8</v>
      </c>
      <c r="K797">
        <v>878.03</v>
      </c>
      <c r="L797">
        <v>139.11000000000001</v>
      </c>
    </row>
    <row r="798" spans="1:12" x14ac:dyDescent="0.25">
      <c r="A798">
        <v>10797</v>
      </c>
      <c r="B798" t="s">
        <v>988</v>
      </c>
      <c r="C798" t="s">
        <v>665</v>
      </c>
      <c r="D798" t="s">
        <v>323</v>
      </c>
      <c r="E798" t="s">
        <v>31</v>
      </c>
      <c r="F798" t="s">
        <v>20</v>
      </c>
      <c r="G798" t="s">
        <v>76</v>
      </c>
      <c r="H798" t="s">
        <v>22</v>
      </c>
      <c r="I798" t="s">
        <v>23</v>
      </c>
      <c r="J798">
        <v>3</v>
      </c>
      <c r="K798">
        <v>2284.08</v>
      </c>
      <c r="L798">
        <v>524.57000000000005</v>
      </c>
    </row>
    <row r="799" spans="1:12" x14ac:dyDescent="0.25">
      <c r="A799">
        <v>10798</v>
      </c>
      <c r="B799" t="s">
        <v>988</v>
      </c>
      <c r="C799" t="s">
        <v>662</v>
      </c>
      <c r="D799" t="s">
        <v>903</v>
      </c>
      <c r="E799" t="s">
        <v>13</v>
      </c>
      <c r="F799" t="s">
        <v>20</v>
      </c>
      <c r="G799" t="s">
        <v>76</v>
      </c>
      <c r="H799" t="s">
        <v>27</v>
      </c>
      <c r="I799" t="s">
        <v>118</v>
      </c>
      <c r="J799">
        <v>2</v>
      </c>
      <c r="K799">
        <v>1510.77</v>
      </c>
      <c r="L799">
        <v>362.65</v>
      </c>
    </row>
    <row r="800" spans="1:12" x14ac:dyDescent="0.25">
      <c r="A800">
        <v>10799</v>
      </c>
      <c r="B800" t="s">
        <v>988</v>
      </c>
      <c r="C800" t="s">
        <v>296</v>
      </c>
      <c r="D800" t="s">
        <v>904</v>
      </c>
      <c r="E800" t="s">
        <v>13</v>
      </c>
      <c r="F800" t="s">
        <v>32</v>
      </c>
      <c r="G800" t="s">
        <v>54</v>
      </c>
      <c r="H800" t="s">
        <v>16</v>
      </c>
      <c r="I800" t="s">
        <v>43</v>
      </c>
      <c r="J800">
        <v>7</v>
      </c>
      <c r="K800">
        <v>1320.76</v>
      </c>
      <c r="L800">
        <v>289.87</v>
      </c>
    </row>
    <row r="801" spans="1:12" x14ac:dyDescent="0.25">
      <c r="A801">
        <v>10800</v>
      </c>
      <c r="B801" t="s">
        <v>988</v>
      </c>
      <c r="C801" t="s">
        <v>114</v>
      </c>
      <c r="D801" t="s">
        <v>425</v>
      </c>
      <c r="E801" t="s">
        <v>13</v>
      </c>
      <c r="F801" t="s">
        <v>46</v>
      </c>
      <c r="G801" t="s">
        <v>71</v>
      </c>
      <c r="H801" t="s">
        <v>27</v>
      </c>
      <c r="I801" t="s">
        <v>118</v>
      </c>
      <c r="J801">
        <v>4</v>
      </c>
      <c r="K801">
        <v>4439.1499999999996</v>
      </c>
      <c r="L801">
        <v>308.97000000000003</v>
      </c>
    </row>
    <row r="802" spans="1:12" x14ac:dyDescent="0.25">
      <c r="A802">
        <v>10801</v>
      </c>
      <c r="B802" t="s">
        <v>988</v>
      </c>
      <c r="C802" t="s">
        <v>843</v>
      </c>
      <c r="D802" t="s">
        <v>524</v>
      </c>
      <c r="E802" t="s">
        <v>31</v>
      </c>
      <c r="F802" t="s">
        <v>14</v>
      </c>
      <c r="G802" t="s">
        <v>15</v>
      </c>
      <c r="H802" t="s">
        <v>27</v>
      </c>
      <c r="I802" t="s">
        <v>77</v>
      </c>
      <c r="J802">
        <v>2</v>
      </c>
      <c r="K802">
        <v>4977.05</v>
      </c>
      <c r="L802">
        <v>333.56</v>
      </c>
    </row>
    <row r="803" spans="1:12" x14ac:dyDescent="0.25">
      <c r="A803">
        <v>10802</v>
      </c>
      <c r="B803" t="s">
        <v>988</v>
      </c>
      <c r="C803" t="s">
        <v>195</v>
      </c>
      <c r="D803" t="s">
        <v>846</v>
      </c>
      <c r="E803" t="s">
        <v>31</v>
      </c>
      <c r="F803" t="s">
        <v>46</v>
      </c>
      <c r="G803" t="s">
        <v>47</v>
      </c>
      <c r="H803" t="s">
        <v>22</v>
      </c>
      <c r="I803" t="s">
        <v>23</v>
      </c>
      <c r="J803">
        <v>8</v>
      </c>
      <c r="K803">
        <v>230.92</v>
      </c>
      <c r="L803">
        <v>-19.13</v>
      </c>
    </row>
    <row r="804" spans="1:12" x14ac:dyDescent="0.25">
      <c r="A804">
        <v>10803</v>
      </c>
      <c r="B804" t="s">
        <v>988</v>
      </c>
      <c r="C804" t="s">
        <v>312</v>
      </c>
      <c r="D804" t="s">
        <v>905</v>
      </c>
      <c r="E804" t="s">
        <v>31</v>
      </c>
      <c r="F804" t="s">
        <v>20</v>
      </c>
      <c r="G804" t="s">
        <v>21</v>
      </c>
      <c r="H804" t="s">
        <v>27</v>
      </c>
      <c r="I804" t="s">
        <v>118</v>
      </c>
      <c r="J804">
        <v>1</v>
      </c>
      <c r="K804">
        <v>1327.97</v>
      </c>
      <c r="L804">
        <v>288.17</v>
      </c>
    </row>
    <row r="805" spans="1:12" x14ac:dyDescent="0.25">
      <c r="A805">
        <v>10804</v>
      </c>
      <c r="B805" t="s">
        <v>988</v>
      </c>
      <c r="C805" t="s">
        <v>24</v>
      </c>
      <c r="D805" t="s">
        <v>906</v>
      </c>
      <c r="E805" t="s">
        <v>26</v>
      </c>
      <c r="F805" t="s">
        <v>20</v>
      </c>
      <c r="G805" t="s">
        <v>76</v>
      </c>
      <c r="H805" t="s">
        <v>22</v>
      </c>
      <c r="I805" t="s">
        <v>23</v>
      </c>
      <c r="J805">
        <v>4</v>
      </c>
      <c r="K805">
        <v>3596.55</v>
      </c>
      <c r="L805">
        <v>526.32000000000005</v>
      </c>
    </row>
    <row r="806" spans="1:12" x14ac:dyDescent="0.25">
      <c r="A806">
        <v>10805</v>
      </c>
      <c r="B806" t="s">
        <v>988</v>
      </c>
      <c r="C806" t="s">
        <v>907</v>
      </c>
      <c r="D806" t="s">
        <v>389</v>
      </c>
      <c r="E806" t="s">
        <v>26</v>
      </c>
      <c r="F806" t="s">
        <v>46</v>
      </c>
      <c r="G806" t="s">
        <v>71</v>
      </c>
      <c r="H806" t="s">
        <v>16</v>
      </c>
      <c r="I806" t="s">
        <v>81</v>
      </c>
      <c r="J806">
        <v>3</v>
      </c>
      <c r="K806">
        <v>1541.31</v>
      </c>
      <c r="L806">
        <v>244</v>
      </c>
    </row>
    <row r="807" spans="1:12" x14ac:dyDescent="0.25">
      <c r="A807">
        <v>10806</v>
      </c>
      <c r="B807" t="s">
        <v>988</v>
      </c>
      <c r="C807" t="s">
        <v>865</v>
      </c>
      <c r="D807" t="s">
        <v>908</v>
      </c>
      <c r="E807" t="s">
        <v>13</v>
      </c>
      <c r="F807" t="s">
        <v>32</v>
      </c>
      <c r="G807" t="s">
        <v>33</v>
      </c>
      <c r="H807" t="s">
        <v>27</v>
      </c>
      <c r="I807" t="s">
        <v>28</v>
      </c>
      <c r="J807">
        <v>3</v>
      </c>
      <c r="K807">
        <v>1161.69</v>
      </c>
      <c r="L807">
        <v>0.57999999999999996</v>
      </c>
    </row>
    <row r="808" spans="1:12" x14ac:dyDescent="0.25">
      <c r="A808">
        <v>10807</v>
      </c>
      <c r="B808" t="s">
        <v>988</v>
      </c>
      <c r="C808" t="s">
        <v>709</v>
      </c>
      <c r="D808" t="s">
        <v>504</v>
      </c>
      <c r="E808" t="s">
        <v>31</v>
      </c>
      <c r="F808" t="s">
        <v>14</v>
      </c>
      <c r="G808" t="s">
        <v>15</v>
      </c>
      <c r="H808" t="s">
        <v>27</v>
      </c>
      <c r="I808" t="s">
        <v>28</v>
      </c>
      <c r="J808">
        <v>8</v>
      </c>
      <c r="K808">
        <v>356.83</v>
      </c>
      <c r="L808">
        <v>-58.98</v>
      </c>
    </row>
    <row r="809" spans="1:12" x14ac:dyDescent="0.25">
      <c r="A809">
        <v>10808</v>
      </c>
      <c r="B809" t="s">
        <v>988</v>
      </c>
      <c r="C809" t="s">
        <v>674</v>
      </c>
      <c r="D809" t="s">
        <v>909</v>
      </c>
      <c r="E809" t="s">
        <v>26</v>
      </c>
      <c r="F809" t="s">
        <v>46</v>
      </c>
      <c r="G809" t="s">
        <v>71</v>
      </c>
      <c r="H809" t="s">
        <v>22</v>
      </c>
      <c r="I809" t="s">
        <v>23</v>
      </c>
      <c r="J809">
        <v>7</v>
      </c>
      <c r="K809">
        <v>236.93</v>
      </c>
      <c r="L809">
        <v>-69.34</v>
      </c>
    </row>
    <row r="810" spans="1:12" x14ac:dyDescent="0.25">
      <c r="A810">
        <v>10809</v>
      </c>
      <c r="B810" t="s">
        <v>988</v>
      </c>
      <c r="C810" t="s">
        <v>461</v>
      </c>
      <c r="D810" t="s">
        <v>794</v>
      </c>
      <c r="E810" t="s">
        <v>13</v>
      </c>
      <c r="F810" t="s">
        <v>46</v>
      </c>
      <c r="G810" t="s">
        <v>71</v>
      </c>
      <c r="H810" t="s">
        <v>16</v>
      </c>
      <c r="I810" t="s">
        <v>43</v>
      </c>
      <c r="J810">
        <v>3</v>
      </c>
      <c r="K810">
        <v>315.66000000000003</v>
      </c>
      <c r="L810">
        <v>-25.34</v>
      </c>
    </row>
    <row r="811" spans="1:12" x14ac:dyDescent="0.25">
      <c r="A811">
        <v>10810</v>
      </c>
      <c r="B811" t="s">
        <v>988</v>
      </c>
      <c r="C811" t="s">
        <v>317</v>
      </c>
      <c r="D811" t="s">
        <v>238</v>
      </c>
      <c r="E811" t="s">
        <v>31</v>
      </c>
      <c r="F811" t="s">
        <v>46</v>
      </c>
      <c r="G811" t="s">
        <v>71</v>
      </c>
      <c r="H811" t="s">
        <v>16</v>
      </c>
      <c r="I811" t="s">
        <v>51</v>
      </c>
      <c r="J811">
        <v>7</v>
      </c>
      <c r="K811">
        <v>691.94</v>
      </c>
      <c r="L811">
        <v>35.92</v>
      </c>
    </row>
    <row r="812" spans="1:12" x14ac:dyDescent="0.25">
      <c r="A812">
        <v>10811</v>
      </c>
      <c r="B812" t="s">
        <v>988</v>
      </c>
      <c r="C812" t="s">
        <v>552</v>
      </c>
      <c r="D812" t="s">
        <v>162</v>
      </c>
      <c r="E812" t="s">
        <v>26</v>
      </c>
      <c r="F812" t="s">
        <v>32</v>
      </c>
      <c r="G812" t="s">
        <v>33</v>
      </c>
      <c r="H812" t="s">
        <v>27</v>
      </c>
      <c r="I812" t="s">
        <v>104</v>
      </c>
      <c r="J812">
        <v>8</v>
      </c>
      <c r="K812">
        <v>1178.47</v>
      </c>
      <c r="L812">
        <v>224.92</v>
      </c>
    </row>
    <row r="813" spans="1:12" x14ac:dyDescent="0.25">
      <c r="A813">
        <v>10812</v>
      </c>
      <c r="B813" t="s">
        <v>988</v>
      </c>
      <c r="C813" t="s">
        <v>475</v>
      </c>
      <c r="D813" t="s">
        <v>406</v>
      </c>
      <c r="E813" t="s">
        <v>31</v>
      </c>
      <c r="F813" t="s">
        <v>14</v>
      </c>
      <c r="G813" t="s">
        <v>15</v>
      </c>
      <c r="H813" t="s">
        <v>27</v>
      </c>
      <c r="I813" t="s">
        <v>28</v>
      </c>
      <c r="J813">
        <v>8</v>
      </c>
      <c r="K813">
        <v>4917.2</v>
      </c>
      <c r="L813">
        <v>317.39999999999998</v>
      </c>
    </row>
    <row r="814" spans="1:12" x14ac:dyDescent="0.25">
      <c r="A814">
        <v>10813</v>
      </c>
      <c r="B814" t="s">
        <v>988</v>
      </c>
      <c r="C814" t="s">
        <v>743</v>
      </c>
      <c r="D814" t="s">
        <v>289</v>
      </c>
      <c r="E814" t="s">
        <v>13</v>
      </c>
      <c r="F814" t="s">
        <v>14</v>
      </c>
      <c r="G814" t="s">
        <v>37</v>
      </c>
      <c r="H814" t="s">
        <v>16</v>
      </c>
      <c r="I814" t="s">
        <v>51</v>
      </c>
      <c r="J814">
        <v>3</v>
      </c>
      <c r="K814">
        <v>1727.03</v>
      </c>
      <c r="L814">
        <v>272.27</v>
      </c>
    </row>
    <row r="815" spans="1:12" x14ac:dyDescent="0.25">
      <c r="A815">
        <v>10814</v>
      </c>
      <c r="B815" t="s">
        <v>988</v>
      </c>
      <c r="C815" t="s">
        <v>850</v>
      </c>
      <c r="D815" t="s">
        <v>910</v>
      </c>
      <c r="E815" t="s">
        <v>26</v>
      </c>
      <c r="F815" t="s">
        <v>20</v>
      </c>
      <c r="G815" t="s">
        <v>21</v>
      </c>
      <c r="H815" t="s">
        <v>27</v>
      </c>
      <c r="I815" t="s">
        <v>118</v>
      </c>
      <c r="J815">
        <v>8</v>
      </c>
      <c r="K815">
        <v>1973.62</v>
      </c>
      <c r="L815">
        <v>391.51</v>
      </c>
    </row>
    <row r="816" spans="1:12" x14ac:dyDescent="0.25">
      <c r="A816">
        <v>10815</v>
      </c>
      <c r="B816" t="s">
        <v>988</v>
      </c>
      <c r="C816" t="s">
        <v>682</v>
      </c>
      <c r="D816" t="s">
        <v>911</v>
      </c>
      <c r="E816" t="s">
        <v>26</v>
      </c>
      <c r="F816" t="s">
        <v>46</v>
      </c>
      <c r="G816" t="s">
        <v>71</v>
      </c>
      <c r="H816" t="s">
        <v>16</v>
      </c>
      <c r="I816" t="s">
        <v>81</v>
      </c>
      <c r="J816">
        <v>5</v>
      </c>
      <c r="K816">
        <v>1258.3399999999999</v>
      </c>
      <c r="L816">
        <v>173.36</v>
      </c>
    </row>
    <row r="817" spans="1:12" x14ac:dyDescent="0.25">
      <c r="A817">
        <v>10816</v>
      </c>
      <c r="B817" t="s">
        <v>988</v>
      </c>
      <c r="C817" t="s">
        <v>429</v>
      </c>
      <c r="D817" t="s">
        <v>912</v>
      </c>
      <c r="E817" t="s">
        <v>13</v>
      </c>
      <c r="F817" t="s">
        <v>32</v>
      </c>
      <c r="G817" t="s">
        <v>54</v>
      </c>
      <c r="H817" t="s">
        <v>27</v>
      </c>
      <c r="I817" t="s">
        <v>104</v>
      </c>
      <c r="J817">
        <v>3</v>
      </c>
      <c r="K817">
        <v>1941.16</v>
      </c>
      <c r="L817">
        <v>384.83</v>
      </c>
    </row>
    <row r="818" spans="1:12" x14ac:dyDescent="0.25">
      <c r="A818">
        <v>10817</v>
      </c>
      <c r="B818" t="s">
        <v>988</v>
      </c>
      <c r="C818" t="s">
        <v>214</v>
      </c>
      <c r="D818" t="s">
        <v>127</v>
      </c>
      <c r="E818" t="s">
        <v>26</v>
      </c>
      <c r="F818" t="s">
        <v>32</v>
      </c>
      <c r="G818" t="s">
        <v>33</v>
      </c>
      <c r="H818" t="s">
        <v>27</v>
      </c>
      <c r="I818" t="s">
        <v>28</v>
      </c>
      <c r="J818">
        <v>1</v>
      </c>
      <c r="K818">
        <v>2652.28</v>
      </c>
      <c r="L818">
        <v>716.01</v>
      </c>
    </row>
    <row r="819" spans="1:12" x14ac:dyDescent="0.25">
      <c r="A819">
        <v>10818</v>
      </c>
      <c r="B819" t="s">
        <v>988</v>
      </c>
      <c r="C819" t="s">
        <v>672</v>
      </c>
      <c r="D819" t="s">
        <v>129</v>
      </c>
      <c r="E819" t="s">
        <v>13</v>
      </c>
      <c r="F819" t="s">
        <v>46</v>
      </c>
      <c r="G819" t="s">
        <v>47</v>
      </c>
      <c r="H819" t="s">
        <v>27</v>
      </c>
      <c r="I819" t="s">
        <v>104</v>
      </c>
      <c r="J819">
        <v>4</v>
      </c>
      <c r="K819">
        <v>2742.63</v>
      </c>
      <c r="L819">
        <v>692.27</v>
      </c>
    </row>
    <row r="820" spans="1:12" x14ac:dyDescent="0.25">
      <c r="A820">
        <v>10819</v>
      </c>
      <c r="B820" t="s">
        <v>988</v>
      </c>
      <c r="C820" t="s">
        <v>86</v>
      </c>
      <c r="D820" t="s">
        <v>109</v>
      </c>
      <c r="E820" t="s">
        <v>26</v>
      </c>
      <c r="F820" t="s">
        <v>46</v>
      </c>
      <c r="G820" t="s">
        <v>47</v>
      </c>
      <c r="H820" t="s">
        <v>16</v>
      </c>
      <c r="I820" t="s">
        <v>17</v>
      </c>
      <c r="J820">
        <v>3</v>
      </c>
      <c r="K820">
        <v>2267.5700000000002</v>
      </c>
      <c r="L820">
        <v>29.82</v>
      </c>
    </row>
    <row r="821" spans="1:12" x14ac:dyDescent="0.25">
      <c r="A821">
        <v>10820</v>
      </c>
      <c r="B821" t="s">
        <v>988</v>
      </c>
      <c r="C821" t="s">
        <v>577</v>
      </c>
      <c r="D821" t="s">
        <v>117</v>
      </c>
      <c r="E821" t="s">
        <v>26</v>
      </c>
      <c r="F821" t="s">
        <v>46</v>
      </c>
      <c r="G821" t="s">
        <v>71</v>
      </c>
      <c r="H821" t="s">
        <v>22</v>
      </c>
      <c r="I821" t="s">
        <v>23</v>
      </c>
      <c r="J821">
        <v>3</v>
      </c>
      <c r="K821">
        <v>3003.89</v>
      </c>
      <c r="L821">
        <v>681.24</v>
      </c>
    </row>
    <row r="822" spans="1:12" x14ac:dyDescent="0.25">
      <c r="A822">
        <v>10821</v>
      </c>
      <c r="B822" t="s">
        <v>988</v>
      </c>
      <c r="C822" t="s">
        <v>360</v>
      </c>
      <c r="D822" t="s">
        <v>657</v>
      </c>
      <c r="E822" t="s">
        <v>31</v>
      </c>
      <c r="F822" t="s">
        <v>20</v>
      </c>
      <c r="G822" t="s">
        <v>76</v>
      </c>
      <c r="H822" t="s">
        <v>27</v>
      </c>
      <c r="I822" t="s">
        <v>104</v>
      </c>
      <c r="J822">
        <v>4</v>
      </c>
      <c r="K822">
        <v>1300.1300000000001</v>
      </c>
      <c r="L822">
        <v>97.46</v>
      </c>
    </row>
    <row r="823" spans="1:12" x14ac:dyDescent="0.25">
      <c r="A823">
        <v>10822</v>
      </c>
      <c r="B823" t="s">
        <v>988</v>
      </c>
      <c r="C823" t="s">
        <v>243</v>
      </c>
      <c r="D823" t="s">
        <v>913</v>
      </c>
      <c r="E823" t="s">
        <v>13</v>
      </c>
      <c r="F823" t="s">
        <v>46</v>
      </c>
      <c r="G823" t="s">
        <v>47</v>
      </c>
      <c r="H823" t="s">
        <v>27</v>
      </c>
      <c r="I823" t="s">
        <v>118</v>
      </c>
      <c r="J823">
        <v>6</v>
      </c>
      <c r="K823">
        <v>2051.4</v>
      </c>
      <c r="L823">
        <v>144.47</v>
      </c>
    </row>
    <row r="824" spans="1:12" x14ac:dyDescent="0.25">
      <c r="A824">
        <v>10823</v>
      </c>
      <c r="B824" t="s">
        <v>988</v>
      </c>
      <c r="C824" t="s">
        <v>116</v>
      </c>
      <c r="D824" t="s">
        <v>87</v>
      </c>
      <c r="E824" t="s">
        <v>13</v>
      </c>
      <c r="F824" t="s">
        <v>20</v>
      </c>
      <c r="G824" t="s">
        <v>21</v>
      </c>
      <c r="H824" t="s">
        <v>27</v>
      </c>
      <c r="I824" t="s">
        <v>118</v>
      </c>
      <c r="J824">
        <v>7</v>
      </c>
      <c r="K824">
        <v>2194.25</v>
      </c>
      <c r="L824">
        <v>64.73</v>
      </c>
    </row>
    <row r="825" spans="1:12" x14ac:dyDescent="0.25">
      <c r="A825">
        <v>10824</v>
      </c>
      <c r="B825" t="s">
        <v>988</v>
      </c>
      <c r="C825" t="s">
        <v>648</v>
      </c>
      <c r="D825" t="s">
        <v>914</v>
      </c>
      <c r="E825" t="s">
        <v>31</v>
      </c>
      <c r="F825" t="s">
        <v>46</v>
      </c>
      <c r="G825" t="s">
        <v>71</v>
      </c>
      <c r="H825" t="s">
        <v>27</v>
      </c>
      <c r="I825" t="s">
        <v>77</v>
      </c>
      <c r="J825">
        <v>8</v>
      </c>
      <c r="K825">
        <v>1598.65</v>
      </c>
      <c r="L825">
        <v>136.91</v>
      </c>
    </row>
    <row r="826" spans="1:12" x14ac:dyDescent="0.25">
      <c r="A826">
        <v>10825</v>
      </c>
      <c r="B826" t="s">
        <v>988</v>
      </c>
      <c r="C826" t="s">
        <v>211</v>
      </c>
      <c r="D826" t="s">
        <v>915</v>
      </c>
      <c r="E826" t="s">
        <v>31</v>
      </c>
      <c r="F826" t="s">
        <v>46</v>
      </c>
      <c r="G826" t="s">
        <v>47</v>
      </c>
      <c r="H826" t="s">
        <v>22</v>
      </c>
      <c r="I826" t="s">
        <v>48</v>
      </c>
      <c r="J826">
        <v>4</v>
      </c>
      <c r="K826">
        <v>120.48</v>
      </c>
      <c r="L826">
        <v>-41.06</v>
      </c>
    </row>
    <row r="827" spans="1:12" x14ac:dyDescent="0.25">
      <c r="A827">
        <v>10826</v>
      </c>
      <c r="B827" t="s">
        <v>988</v>
      </c>
      <c r="C827" t="s">
        <v>176</v>
      </c>
      <c r="D827" t="s">
        <v>916</v>
      </c>
      <c r="E827" t="s">
        <v>26</v>
      </c>
      <c r="F827" t="s">
        <v>20</v>
      </c>
      <c r="G827" t="s">
        <v>76</v>
      </c>
      <c r="H827" t="s">
        <v>16</v>
      </c>
      <c r="I827" t="s">
        <v>17</v>
      </c>
      <c r="J827">
        <v>7</v>
      </c>
      <c r="K827">
        <v>2498.8000000000002</v>
      </c>
      <c r="L827">
        <v>466.57</v>
      </c>
    </row>
    <row r="828" spans="1:12" x14ac:dyDescent="0.25">
      <c r="A828">
        <v>10827</v>
      </c>
      <c r="B828" t="s">
        <v>988</v>
      </c>
      <c r="C828" t="s">
        <v>326</v>
      </c>
      <c r="D828" t="s">
        <v>917</v>
      </c>
      <c r="E828" t="s">
        <v>13</v>
      </c>
      <c r="F828" t="s">
        <v>20</v>
      </c>
      <c r="G828" t="s">
        <v>21</v>
      </c>
      <c r="H828" t="s">
        <v>22</v>
      </c>
      <c r="I828" t="s">
        <v>34</v>
      </c>
      <c r="J828">
        <v>5</v>
      </c>
      <c r="K828">
        <v>3879.22</v>
      </c>
      <c r="L828">
        <v>887.99</v>
      </c>
    </row>
    <row r="829" spans="1:12" x14ac:dyDescent="0.25">
      <c r="A829">
        <v>10828</v>
      </c>
      <c r="B829" t="s">
        <v>988</v>
      </c>
      <c r="C829" t="s">
        <v>918</v>
      </c>
      <c r="D829" t="s">
        <v>861</v>
      </c>
      <c r="E829" t="s">
        <v>13</v>
      </c>
      <c r="F829" t="s">
        <v>32</v>
      </c>
      <c r="G829" t="s">
        <v>33</v>
      </c>
      <c r="H829" t="s">
        <v>16</v>
      </c>
      <c r="I829" t="s">
        <v>51</v>
      </c>
      <c r="J829">
        <v>7</v>
      </c>
      <c r="K829">
        <v>3704.75</v>
      </c>
      <c r="L829">
        <v>406.25</v>
      </c>
    </row>
    <row r="830" spans="1:12" x14ac:dyDescent="0.25">
      <c r="A830">
        <v>10829</v>
      </c>
      <c r="B830" t="s">
        <v>988</v>
      </c>
      <c r="C830" t="s">
        <v>919</v>
      </c>
      <c r="D830" t="s">
        <v>402</v>
      </c>
      <c r="E830" t="s">
        <v>26</v>
      </c>
      <c r="F830" t="s">
        <v>14</v>
      </c>
      <c r="G830" t="s">
        <v>15</v>
      </c>
      <c r="H830" t="s">
        <v>27</v>
      </c>
      <c r="I830" t="s">
        <v>77</v>
      </c>
      <c r="J830">
        <v>3</v>
      </c>
      <c r="K830">
        <v>1346.01</v>
      </c>
      <c r="L830">
        <v>174.75</v>
      </c>
    </row>
    <row r="831" spans="1:12" x14ac:dyDescent="0.25">
      <c r="A831">
        <v>10830</v>
      </c>
      <c r="B831" t="s">
        <v>988</v>
      </c>
      <c r="C831" t="s">
        <v>407</v>
      </c>
      <c r="D831" t="s">
        <v>920</v>
      </c>
      <c r="E831" t="s">
        <v>13</v>
      </c>
      <c r="F831" t="s">
        <v>14</v>
      </c>
      <c r="G831" t="s">
        <v>37</v>
      </c>
      <c r="H831" t="s">
        <v>27</v>
      </c>
      <c r="I831" t="s">
        <v>118</v>
      </c>
      <c r="J831">
        <v>4</v>
      </c>
      <c r="K831">
        <v>4392.43</v>
      </c>
      <c r="L831">
        <v>359.03</v>
      </c>
    </row>
    <row r="832" spans="1:12" x14ac:dyDescent="0.25">
      <c r="A832">
        <v>10831</v>
      </c>
      <c r="B832" t="s">
        <v>988</v>
      </c>
      <c r="C832" t="s">
        <v>342</v>
      </c>
      <c r="D832" t="s">
        <v>921</v>
      </c>
      <c r="E832" t="s">
        <v>13</v>
      </c>
      <c r="F832" t="s">
        <v>20</v>
      </c>
      <c r="G832" t="s">
        <v>76</v>
      </c>
      <c r="H832" t="s">
        <v>16</v>
      </c>
      <c r="I832" t="s">
        <v>51</v>
      </c>
      <c r="J832">
        <v>2</v>
      </c>
      <c r="K832">
        <v>635.44000000000005</v>
      </c>
      <c r="L832">
        <v>42.98</v>
      </c>
    </row>
    <row r="833" spans="1:12" x14ac:dyDescent="0.25">
      <c r="A833">
        <v>10832</v>
      </c>
      <c r="B833" t="s">
        <v>988</v>
      </c>
      <c r="C833" t="s">
        <v>86</v>
      </c>
      <c r="D833" t="s">
        <v>544</v>
      </c>
      <c r="E833" t="s">
        <v>13</v>
      </c>
      <c r="F833" t="s">
        <v>46</v>
      </c>
      <c r="G833" t="s">
        <v>47</v>
      </c>
      <c r="H833" t="s">
        <v>16</v>
      </c>
      <c r="I833" t="s">
        <v>17</v>
      </c>
      <c r="J833">
        <v>1</v>
      </c>
      <c r="K833">
        <v>4936.42</v>
      </c>
      <c r="L833">
        <v>1254.17</v>
      </c>
    </row>
    <row r="834" spans="1:12" x14ac:dyDescent="0.25">
      <c r="A834">
        <v>10833</v>
      </c>
      <c r="B834" t="s">
        <v>988</v>
      </c>
      <c r="C834" t="s">
        <v>547</v>
      </c>
      <c r="D834" t="s">
        <v>512</v>
      </c>
      <c r="E834" t="s">
        <v>26</v>
      </c>
      <c r="F834" t="s">
        <v>20</v>
      </c>
      <c r="G834" t="s">
        <v>76</v>
      </c>
      <c r="H834" t="s">
        <v>16</v>
      </c>
      <c r="I834" t="s">
        <v>17</v>
      </c>
      <c r="J834">
        <v>7</v>
      </c>
      <c r="K834">
        <v>936.11</v>
      </c>
      <c r="L834">
        <v>64.08</v>
      </c>
    </row>
    <row r="835" spans="1:12" x14ac:dyDescent="0.25">
      <c r="A835">
        <v>10834</v>
      </c>
      <c r="B835" t="s">
        <v>988</v>
      </c>
      <c r="C835" t="s">
        <v>403</v>
      </c>
      <c r="D835" t="s">
        <v>922</v>
      </c>
      <c r="E835" t="s">
        <v>31</v>
      </c>
      <c r="F835" t="s">
        <v>14</v>
      </c>
      <c r="G835" t="s">
        <v>37</v>
      </c>
      <c r="H835" t="s">
        <v>16</v>
      </c>
      <c r="I835" t="s">
        <v>43</v>
      </c>
      <c r="J835">
        <v>3</v>
      </c>
      <c r="K835">
        <v>1084.6099999999999</v>
      </c>
      <c r="L835">
        <v>176.65</v>
      </c>
    </row>
    <row r="836" spans="1:12" x14ac:dyDescent="0.25">
      <c r="A836">
        <v>10835</v>
      </c>
      <c r="B836" t="s">
        <v>988</v>
      </c>
      <c r="C836" t="s">
        <v>274</v>
      </c>
      <c r="D836" t="s">
        <v>923</v>
      </c>
      <c r="E836" t="s">
        <v>13</v>
      </c>
      <c r="F836" t="s">
        <v>20</v>
      </c>
      <c r="G836" t="s">
        <v>21</v>
      </c>
      <c r="H836" t="s">
        <v>16</v>
      </c>
      <c r="I836" t="s">
        <v>43</v>
      </c>
      <c r="J836">
        <v>2</v>
      </c>
      <c r="K836">
        <v>1536.32</v>
      </c>
      <c r="L836">
        <v>194.22</v>
      </c>
    </row>
    <row r="837" spans="1:12" x14ac:dyDescent="0.25">
      <c r="A837">
        <v>10836</v>
      </c>
      <c r="B837" t="s">
        <v>988</v>
      </c>
      <c r="C837" t="s">
        <v>817</v>
      </c>
      <c r="D837" t="s">
        <v>678</v>
      </c>
      <c r="E837" t="s">
        <v>26</v>
      </c>
      <c r="F837" t="s">
        <v>46</v>
      </c>
      <c r="G837" t="s">
        <v>47</v>
      </c>
      <c r="H837" t="s">
        <v>27</v>
      </c>
      <c r="I837" t="s">
        <v>118</v>
      </c>
      <c r="J837">
        <v>1</v>
      </c>
      <c r="K837">
        <v>399.18</v>
      </c>
      <c r="L837">
        <v>94.26</v>
      </c>
    </row>
    <row r="838" spans="1:12" x14ac:dyDescent="0.25">
      <c r="A838">
        <v>10837</v>
      </c>
      <c r="B838" t="s">
        <v>988</v>
      </c>
      <c r="C838" t="s">
        <v>281</v>
      </c>
      <c r="D838" t="s">
        <v>654</v>
      </c>
      <c r="E838" t="s">
        <v>31</v>
      </c>
      <c r="F838" t="s">
        <v>14</v>
      </c>
      <c r="G838" t="s">
        <v>15</v>
      </c>
      <c r="H838" t="s">
        <v>16</v>
      </c>
      <c r="I838" t="s">
        <v>81</v>
      </c>
      <c r="J838">
        <v>7</v>
      </c>
      <c r="K838">
        <v>3054.63</v>
      </c>
      <c r="L838">
        <v>830.25</v>
      </c>
    </row>
    <row r="839" spans="1:12" x14ac:dyDescent="0.25">
      <c r="A839">
        <v>10838</v>
      </c>
      <c r="B839" t="s">
        <v>988</v>
      </c>
      <c r="C839" t="s">
        <v>924</v>
      </c>
      <c r="D839" t="s">
        <v>125</v>
      </c>
      <c r="E839" t="s">
        <v>26</v>
      </c>
      <c r="F839" t="s">
        <v>20</v>
      </c>
      <c r="G839" t="s">
        <v>76</v>
      </c>
      <c r="H839" t="s">
        <v>27</v>
      </c>
      <c r="I839" t="s">
        <v>28</v>
      </c>
      <c r="J839">
        <v>6</v>
      </c>
      <c r="K839">
        <v>4102.55</v>
      </c>
      <c r="L839">
        <v>1103.74</v>
      </c>
    </row>
    <row r="840" spans="1:12" x14ac:dyDescent="0.25">
      <c r="A840">
        <v>10839</v>
      </c>
      <c r="B840" t="s">
        <v>988</v>
      </c>
      <c r="C840" t="s">
        <v>49</v>
      </c>
      <c r="D840" t="s">
        <v>321</v>
      </c>
      <c r="E840" t="s">
        <v>13</v>
      </c>
      <c r="F840" t="s">
        <v>32</v>
      </c>
      <c r="G840" t="s">
        <v>54</v>
      </c>
      <c r="H840" t="s">
        <v>22</v>
      </c>
      <c r="I840" t="s">
        <v>23</v>
      </c>
      <c r="J840">
        <v>8</v>
      </c>
      <c r="K840">
        <v>4365.6499999999996</v>
      </c>
      <c r="L840">
        <v>573.28</v>
      </c>
    </row>
    <row r="841" spans="1:12" x14ac:dyDescent="0.25">
      <c r="A841">
        <v>10840</v>
      </c>
      <c r="B841" t="s">
        <v>988</v>
      </c>
      <c r="C841" t="s">
        <v>69</v>
      </c>
      <c r="D841" t="s">
        <v>387</v>
      </c>
      <c r="E841" t="s">
        <v>13</v>
      </c>
      <c r="F841" t="s">
        <v>14</v>
      </c>
      <c r="G841" t="s">
        <v>37</v>
      </c>
      <c r="H841" t="s">
        <v>16</v>
      </c>
      <c r="I841" t="s">
        <v>43</v>
      </c>
      <c r="J841">
        <v>6</v>
      </c>
      <c r="K841">
        <v>2314.4</v>
      </c>
      <c r="L841">
        <v>425.76</v>
      </c>
    </row>
    <row r="842" spans="1:12" x14ac:dyDescent="0.25">
      <c r="A842">
        <v>10841</v>
      </c>
      <c r="B842" t="s">
        <v>988</v>
      </c>
      <c r="C842" t="s">
        <v>843</v>
      </c>
      <c r="D842" t="s">
        <v>770</v>
      </c>
      <c r="E842" t="s">
        <v>31</v>
      </c>
      <c r="F842" t="s">
        <v>46</v>
      </c>
      <c r="G842" t="s">
        <v>71</v>
      </c>
      <c r="H842" t="s">
        <v>16</v>
      </c>
      <c r="I842" t="s">
        <v>17</v>
      </c>
      <c r="J842">
        <v>1</v>
      </c>
      <c r="K842">
        <v>3205.51</v>
      </c>
      <c r="L842">
        <v>763.27</v>
      </c>
    </row>
    <row r="843" spans="1:12" x14ac:dyDescent="0.25">
      <c r="A843">
        <v>10842</v>
      </c>
      <c r="B843" t="s">
        <v>988</v>
      </c>
      <c r="C843" t="s">
        <v>63</v>
      </c>
      <c r="D843" t="s">
        <v>137</v>
      </c>
      <c r="E843" t="s">
        <v>13</v>
      </c>
      <c r="F843" t="s">
        <v>46</v>
      </c>
      <c r="G843" t="s">
        <v>47</v>
      </c>
      <c r="H843" t="s">
        <v>27</v>
      </c>
      <c r="I843" t="s">
        <v>118</v>
      </c>
      <c r="J843">
        <v>6</v>
      </c>
      <c r="K843">
        <v>2196.79</v>
      </c>
      <c r="L843">
        <v>528.32000000000005</v>
      </c>
    </row>
    <row r="844" spans="1:12" x14ac:dyDescent="0.25">
      <c r="A844">
        <v>10843</v>
      </c>
      <c r="B844" t="s">
        <v>988</v>
      </c>
      <c r="C844" t="s">
        <v>243</v>
      </c>
      <c r="D844" t="s">
        <v>780</v>
      </c>
      <c r="E844" t="s">
        <v>26</v>
      </c>
      <c r="F844" t="s">
        <v>14</v>
      </c>
      <c r="G844" t="s">
        <v>37</v>
      </c>
      <c r="H844" t="s">
        <v>27</v>
      </c>
      <c r="I844" t="s">
        <v>104</v>
      </c>
      <c r="J844">
        <v>3</v>
      </c>
      <c r="K844">
        <v>4362.3100000000004</v>
      </c>
      <c r="L844">
        <v>1095.23</v>
      </c>
    </row>
    <row r="845" spans="1:12" x14ac:dyDescent="0.25">
      <c r="A845">
        <v>10844</v>
      </c>
      <c r="B845" t="s">
        <v>988</v>
      </c>
      <c r="C845" t="s">
        <v>410</v>
      </c>
      <c r="D845" t="s">
        <v>62</v>
      </c>
      <c r="E845" t="s">
        <v>26</v>
      </c>
      <c r="F845" t="s">
        <v>20</v>
      </c>
      <c r="G845" t="s">
        <v>21</v>
      </c>
      <c r="H845" t="s">
        <v>27</v>
      </c>
      <c r="I845" t="s">
        <v>77</v>
      </c>
      <c r="J845">
        <v>3</v>
      </c>
      <c r="K845">
        <v>4492.3999999999996</v>
      </c>
      <c r="L845">
        <v>1249.02</v>
      </c>
    </row>
    <row r="846" spans="1:12" x14ac:dyDescent="0.25">
      <c r="A846">
        <v>10845</v>
      </c>
      <c r="B846" t="s">
        <v>988</v>
      </c>
      <c r="C846" t="s">
        <v>497</v>
      </c>
      <c r="D846" t="s">
        <v>488</v>
      </c>
      <c r="E846" t="s">
        <v>31</v>
      </c>
      <c r="F846" t="s">
        <v>46</v>
      </c>
      <c r="G846" t="s">
        <v>71</v>
      </c>
      <c r="H846" t="s">
        <v>16</v>
      </c>
      <c r="I846" t="s">
        <v>81</v>
      </c>
      <c r="J846">
        <v>2</v>
      </c>
      <c r="K846">
        <v>2230.98</v>
      </c>
      <c r="L846">
        <v>494.74</v>
      </c>
    </row>
    <row r="847" spans="1:12" x14ac:dyDescent="0.25">
      <c r="A847">
        <v>10846</v>
      </c>
      <c r="B847" t="s">
        <v>988</v>
      </c>
      <c r="C847" t="s">
        <v>586</v>
      </c>
      <c r="D847" t="s">
        <v>222</v>
      </c>
      <c r="E847" t="s">
        <v>13</v>
      </c>
      <c r="F847" t="s">
        <v>46</v>
      </c>
      <c r="G847" t="s">
        <v>47</v>
      </c>
      <c r="H847" t="s">
        <v>16</v>
      </c>
      <c r="I847" t="s">
        <v>51</v>
      </c>
      <c r="J847">
        <v>2</v>
      </c>
      <c r="K847">
        <v>3360.83</v>
      </c>
      <c r="L847">
        <v>879.98</v>
      </c>
    </row>
    <row r="848" spans="1:12" x14ac:dyDescent="0.25">
      <c r="A848">
        <v>10847</v>
      </c>
      <c r="B848" t="s">
        <v>988</v>
      </c>
      <c r="C848" t="s">
        <v>563</v>
      </c>
      <c r="D848" t="s">
        <v>619</v>
      </c>
      <c r="E848" t="s">
        <v>13</v>
      </c>
      <c r="F848" t="s">
        <v>32</v>
      </c>
      <c r="G848" t="s">
        <v>33</v>
      </c>
      <c r="H848" t="s">
        <v>16</v>
      </c>
      <c r="I848" t="s">
        <v>81</v>
      </c>
      <c r="J848">
        <v>6</v>
      </c>
      <c r="K848">
        <v>1947.35</v>
      </c>
      <c r="L848">
        <v>373.05</v>
      </c>
    </row>
    <row r="849" spans="1:12" x14ac:dyDescent="0.25">
      <c r="A849">
        <v>10848</v>
      </c>
      <c r="B849" t="s">
        <v>988</v>
      </c>
      <c r="C849" t="s">
        <v>344</v>
      </c>
      <c r="D849" t="s">
        <v>787</v>
      </c>
      <c r="E849" t="s">
        <v>13</v>
      </c>
      <c r="F849" t="s">
        <v>20</v>
      </c>
      <c r="G849" t="s">
        <v>21</v>
      </c>
      <c r="H849" t="s">
        <v>22</v>
      </c>
      <c r="I849" t="s">
        <v>38</v>
      </c>
      <c r="J849">
        <v>2</v>
      </c>
      <c r="K849">
        <v>1525.78</v>
      </c>
      <c r="L849">
        <v>84.75</v>
      </c>
    </row>
    <row r="850" spans="1:12" x14ac:dyDescent="0.25">
      <c r="A850">
        <v>10849</v>
      </c>
      <c r="B850" t="s">
        <v>988</v>
      </c>
      <c r="C850" t="s">
        <v>110</v>
      </c>
      <c r="D850" t="s">
        <v>646</v>
      </c>
      <c r="E850" t="s">
        <v>31</v>
      </c>
      <c r="F850" t="s">
        <v>14</v>
      </c>
      <c r="G850" t="s">
        <v>37</v>
      </c>
      <c r="H850" t="s">
        <v>22</v>
      </c>
      <c r="I850" t="s">
        <v>38</v>
      </c>
      <c r="J850">
        <v>7</v>
      </c>
      <c r="K850">
        <v>2926.89</v>
      </c>
      <c r="L850">
        <v>141.38</v>
      </c>
    </row>
    <row r="851" spans="1:12" x14ac:dyDescent="0.25">
      <c r="A851">
        <v>10850</v>
      </c>
      <c r="B851" t="s">
        <v>988</v>
      </c>
      <c r="C851" t="s">
        <v>925</v>
      </c>
      <c r="D851" t="s">
        <v>755</v>
      </c>
      <c r="E851" t="s">
        <v>31</v>
      </c>
      <c r="F851" t="s">
        <v>20</v>
      </c>
      <c r="G851" t="s">
        <v>76</v>
      </c>
      <c r="H851" t="s">
        <v>27</v>
      </c>
      <c r="I851" t="s">
        <v>104</v>
      </c>
      <c r="J851">
        <v>4</v>
      </c>
      <c r="K851">
        <v>622.27</v>
      </c>
      <c r="L851">
        <v>-52.69</v>
      </c>
    </row>
    <row r="852" spans="1:12" x14ac:dyDescent="0.25">
      <c r="A852">
        <v>10851</v>
      </c>
      <c r="B852" t="s">
        <v>988</v>
      </c>
      <c r="C852" t="s">
        <v>405</v>
      </c>
      <c r="D852" t="s">
        <v>926</v>
      </c>
      <c r="E852" t="s">
        <v>13</v>
      </c>
      <c r="F852" t="s">
        <v>46</v>
      </c>
      <c r="G852" t="s">
        <v>47</v>
      </c>
      <c r="H852" t="s">
        <v>16</v>
      </c>
      <c r="I852" t="s">
        <v>51</v>
      </c>
      <c r="J852">
        <v>3</v>
      </c>
      <c r="K852">
        <v>3047.18</v>
      </c>
      <c r="L852">
        <v>196.95</v>
      </c>
    </row>
    <row r="853" spans="1:12" x14ac:dyDescent="0.25">
      <c r="A853">
        <v>10852</v>
      </c>
      <c r="B853" t="s">
        <v>988</v>
      </c>
      <c r="C853" t="s">
        <v>865</v>
      </c>
      <c r="D853" t="s">
        <v>474</v>
      </c>
      <c r="E853" t="s">
        <v>31</v>
      </c>
      <c r="F853" t="s">
        <v>32</v>
      </c>
      <c r="G853" t="s">
        <v>54</v>
      </c>
      <c r="H853" t="s">
        <v>16</v>
      </c>
      <c r="I853" t="s">
        <v>81</v>
      </c>
      <c r="J853">
        <v>5</v>
      </c>
      <c r="K853">
        <v>4984.5600000000004</v>
      </c>
      <c r="L853">
        <v>1081.83</v>
      </c>
    </row>
    <row r="854" spans="1:12" x14ac:dyDescent="0.25">
      <c r="A854">
        <v>10853</v>
      </c>
      <c r="B854" t="s">
        <v>988</v>
      </c>
      <c r="C854" t="s">
        <v>639</v>
      </c>
      <c r="D854" t="s">
        <v>747</v>
      </c>
      <c r="E854" t="s">
        <v>26</v>
      </c>
      <c r="F854" t="s">
        <v>20</v>
      </c>
      <c r="G854" t="s">
        <v>21</v>
      </c>
      <c r="H854" t="s">
        <v>27</v>
      </c>
      <c r="I854" t="s">
        <v>104</v>
      </c>
      <c r="J854">
        <v>4</v>
      </c>
      <c r="K854">
        <v>4255.54</v>
      </c>
      <c r="L854">
        <v>1184.4000000000001</v>
      </c>
    </row>
    <row r="855" spans="1:12" x14ac:dyDescent="0.25">
      <c r="A855">
        <v>10854</v>
      </c>
      <c r="B855" t="s">
        <v>988</v>
      </c>
      <c r="C855" t="s">
        <v>927</v>
      </c>
      <c r="D855" t="s">
        <v>590</v>
      </c>
      <c r="E855" t="s">
        <v>31</v>
      </c>
      <c r="F855" t="s">
        <v>20</v>
      </c>
      <c r="G855" t="s">
        <v>76</v>
      </c>
      <c r="H855" t="s">
        <v>27</v>
      </c>
      <c r="I855" t="s">
        <v>104</v>
      </c>
      <c r="J855">
        <v>1</v>
      </c>
      <c r="K855">
        <v>2784.92</v>
      </c>
      <c r="L855">
        <v>306.37</v>
      </c>
    </row>
    <row r="856" spans="1:12" x14ac:dyDescent="0.25">
      <c r="A856">
        <v>10855</v>
      </c>
      <c r="B856" t="s">
        <v>988</v>
      </c>
      <c r="C856" t="s">
        <v>703</v>
      </c>
      <c r="D856" t="s">
        <v>73</v>
      </c>
      <c r="E856" t="s">
        <v>26</v>
      </c>
      <c r="F856" t="s">
        <v>20</v>
      </c>
      <c r="G856" t="s">
        <v>21</v>
      </c>
      <c r="H856" t="s">
        <v>16</v>
      </c>
      <c r="I856" t="s">
        <v>17</v>
      </c>
      <c r="J856">
        <v>5</v>
      </c>
      <c r="K856">
        <v>3512.24</v>
      </c>
      <c r="L856">
        <v>261.29000000000002</v>
      </c>
    </row>
    <row r="857" spans="1:12" x14ac:dyDescent="0.25">
      <c r="A857">
        <v>10856</v>
      </c>
      <c r="B857" t="s">
        <v>988</v>
      </c>
      <c r="C857" t="s">
        <v>928</v>
      </c>
      <c r="D857" t="s">
        <v>425</v>
      </c>
      <c r="E857" t="s">
        <v>26</v>
      </c>
      <c r="F857" t="s">
        <v>32</v>
      </c>
      <c r="G857" t="s">
        <v>33</v>
      </c>
      <c r="H857" t="s">
        <v>16</v>
      </c>
      <c r="I857" t="s">
        <v>17</v>
      </c>
      <c r="J857">
        <v>8</v>
      </c>
      <c r="K857">
        <v>3307.71</v>
      </c>
      <c r="L857">
        <v>598.46</v>
      </c>
    </row>
    <row r="858" spans="1:12" x14ac:dyDescent="0.25">
      <c r="A858">
        <v>10857</v>
      </c>
      <c r="B858" t="s">
        <v>988</v>
      </c>
      <c r="C858" t="s">
        <v>929</v>
      </c>
      <c r="D858" t="s">
        <v>625</v>
      </c>
      <c r="E858" t="s">
        <v>31</v>
      </c>
      <c r="F858" t="s">
        <v>46</v>
      </c>
      <c r="G858" t="s">
        <v>71</v>
      </c>
      <c r="H858" t="s">
        <v>16</v>
      </c>
      <c r="I858" t="s">
        <v>43</v>
      </c>
      <c r="J858">
        <v>1</v>
      </c>
      <c r="K858">
        <v>1874.91</v>
      </c>
      <c r="L858">
        <v>484.85</v>
      </c>
    </row>
    <row r="859" spans="1:12" x14ac:dyDescent="0.25">
      <c r="A859">
        <v>10858</v>
      </c>
      <c r="B859" t="s">
        <v>988</v>
      </c>
      <c r="C859" t="s">
        <v>18</v>
      </c>
      <c r="D859" t="s">
        <v>207</v>
      </c>
      <c r="E859" t="s">
        <v>13</v>
      </c>
      <c r="F859" t="s">
        <v>46</v>
      </c>
      <c r="G859" t="s">
        <v>71</v>
      </c>
      <c r="H859" t="s">
        <v>22</v>
      </c>
      <c r="I859" t="s">
        <v>38</v>
      </c>
      <c r="J859">
        <v>8</v>
      </c>
      <c r="K859">
        <v>980.2</v>
      </c>
      <c r="L859">
        <v>-36.159999999999997</v>
      </c>
    </row>
    <row r="860" spans="1:12" x14ac:dyDescent="0.25">
      <c r="A860">
        <v>10859</v>
      </c>
      <c r="B860" t="s">
        <v>988</v>
      </c>
      <c r="C860" t="s">
        <v>463</v>
      </c>
      <c r="D860" t="s">
        <v>930</v>
      </c>
      <c r="E860" t="s">
        <v>26</v>
      </c>
      <c r="F860" t="s">
        <v>20</v>
      </c>
      <c r="G860" t="s">
        <v>21</v>
      </c>
      <c r="H860" t="s">
        <v>16</v>
      </c>
      <c r="I860" t="s">
        <v>51</v>
      </c>
      <c r="J860">
        <v>4</v>
      </c>
      <c r="K860">
        <v>266.56</v>
      </c>
      <c r="L860">
        <v>-19.48</v>
      </c>
    </row>
    <row r="861" spans="1:12" x14ac:dyDescent="0.25">
      <c r="A861">
        <v>10860</v>
      </c>
      <c r="B861" t="s">
        <v>988</v>
      </c>
      <c r="C861" t="s">
        <v>931</v>
      </c>
      <c r="D861" t="s">
        <v>932</v>
      </c>
      <c r="E861" t="s">
        <v>26</v>
      </c>
      <c r="F861" t="s">
        <v>20</v>
      </c>
      <c r="G861" t="s">
        <v>21</v>
      </c>
      <c r="H861" t="s">
        <v>27</v>
      </c>
      <c r="I861" t="s">
        <v>77</v>
      </c>
      <c r="J861">
        <v>5</v>
      </c>
      <c r="K861">
        <v>3198.43</v>
      </c>
      <c r="L861">
        <v>514.67999999999995</v>
      </c>
    </row>
    <row r="862" spans="1:12" x14ac:dyDescent="0.25">
      <c r="A862">
        <v>10861</v>
      </c>
      <c r="B862" t="s">
        <v>988</v>
      </c>
      <c r="C862" t="s">
        <v>567</v>
      </c>
      <c r="D862" t="s">
        <v>875</v>
      </c>
      <c r="E862" t="s">
        <v>13</v>
      </c>
      <c r="F862" t="s">
        <v>20</v>
      </c>
      <c r="G862" t="s">
        <v>21</v>
      </c>
      <c r="H862" t="s">
        <v>22</v>
      </c>
      <c r="I862" t="s">
        <v>34</v>
      </c>
      <c r="J862">
        <v>5</v>
      </c>
      <c r="K862">
        <v>3499.26</v>
      </c>
      <c r="L862">
        <v>198.39</v>
      </c>
    </row>
    <row r="863" spans="1:12" x14ac:dyDescent="0.25">
      <c r="A863">
        <v>10862</v>
      </c>
      <c r="B863" t="s">
        <v>988</v>
      </c>
      <c r="C863" t="s">
        <v>114</v>
      </c>
      <c r="D863" t="s">
        <v>530</v>
      </c>
      <c r="E863" t="s">
        <v>31</v>
      </c>
      <c r="F863" t="s">
        <v>20</v>
      </c>
      <c r="G863" t="s">
        <v>76</v>
      </c>
      <c r="H863" t="s">
        <v>16</v>
      </c>
      <c r="I863" t="s">
        <v>43</v>
      </c>
      <c r="J863">
        <v>2</v>
      </c>
      <c r="K863">
        <v>1693.62</v>
      </c>
      <c r="L863">
        <v>300.67</v>
      </c>
    </row>
    <row r="864" spans="1:12" x14ac:dyDescent="0.25">
      <c r="A864">
        <v>10863</v>
      </c>
      <c r="B864" t="s">
        <v>988</v>
      </c>
      <c r="C864" t="s">
        <v>146</v>
      </c>
      <c r="D864" t="s">
        <v>804</v>
      </c>
      <c r="E864" t="s">
        <v>26</v>
      </c>
      <c r="F864" t="s">
        <v>14</v>
      </c>
      <c r="G864" t="s">
        <v>37</v>
      </c>
      <c r="H864" t="s">
        <v>16</v>
      </c>
      <c r="I864" t="s">
        <v>51</v>
      </c>
      <c r="J864">
        <v>2</v>
      </c>
      <c r="K864">
        <v>2642.62</v>
      </c>
      <c r="L864">
        <v>447.06</v>
      </c>
    </row>
    <row r="865" spans="1:12" x14ac:dyDescent="0.25">
      <c r="A865">
        <v>10864</v>
      </c>
      <c r="B865" t="s">
        <v>988</v>
      </c>
      <c r="C865" t="s">
        <v>745</v>
      </c>
      <c r="D865" t="s">
        <v>933</v>
      </c>
      <c r="E865" t="s">
        <v>26</v>
      </c>
      <c r="F865" t="s">
        <v>14</v>
      </c>
      <c r="G865" t="s">
        <v>15</v>
      </c>
      <c r="H865" t="s">
        <v>16</v>
      </c>
      <c r="I865" t="s">
        <v>43</v>
      </c>
      <c r="J865">
        <v>1</v>
      </c>
      <c r="K865">
        <v>2818.14</v>
      </c>
      <c r="L865">
        <v>692.59</v>
      </c>
    </row>
    <row r="866" spans="1:12" x14ac:dyDescent="0.25">
      <c r="A866">
        <v>10865</v>
      </c>
      <c r="B866" t="s">
        <v>988</v>
      </c>
      <c r="C866" t="s">
        <v>201</v>
      </c>
      <c r="D866" t="s">
        <v>406</v>
      </c>
      <c r="E866" t="s">
        <v>31</v>
      </c>
      <c r="F866" t="s">
        <v>46</v>
      </c>
      <c r="G866" t="s">
        <v>71</v>
      </c>
      <c r="H866" t="s">
        <v>16</v>
      </c>
      <c r="I866" t="s">
        <v>17</v>
      </c>
      <c r="J866">
        <v>1</v>
      </c>
      <c r="K866">
        <v>514.59</v>
      </c>
      <c r="L866">
        <v>11.92</v>
      </c>
    </row>
    <row r="867" spans="1:12" x14ac:dyDescent="0.25">
      <c r="A867">
        <v>10866</v>
      </c>
      <c r="B867" t="s">
        <v>988</v>
      </c>
      <c r="C867" t="s">
        <v>573</v>
      </c>
      <c r="D867" t="s">
        <v>598</v>
      </c>
      <c r="E867" t="s">
        <v>13</v>
      </c>
      <c r="F867" t="s">
        <v>14</v>
      </c>
      <c r="G867" t="s">
        <v>15</v>
      </c>
      <c r="H867" t="s">
        <v>27</v>
      </c>
      <c r="I867" t="s">
        <v>118</v>
      </c>
      <c r="J867">
        <v>5</v>
      </c>
      <c r="K867">
        <v>3329.87</v>
      </c>
      <c r="L867">
        <v>479.17</v>
      </c>
    </row>
    <row r="868" spans="1:12" x14ac:dyDescent="0.25">
      <c r="A868">
        <v>10867</v>
      </c>
      <c r="B868" t="s">
        <v>988</v>
      </c>
      <c r="C868" t="s">
        <v>865</v>
      </c>
      <c r="D868" t="s">
        <v>934</v>
      </c>
      <c r="E868" t="s">
        <v>13</v>
      </c>
      <c r="F868" t="s">
        <v>32</v>
      </c>
      <c r="G868" t="s">
        <v>33</v>
      </c>
      <c r="H868" t="s">
        <v>16</v>
      </c>
      <c r="I868" t="s">
        <v>81</v>
      </c>
      <c r="J868">
        <v>1</v>
      </c>
      <c r="K868">
        <v>1261.79</v>
      </c>
      <c r="L868">
        <v>92.45</v>
      </c>
    </row>
    <row r="869" spans="1:12" x14ac:dyDescent="0.25">
      <c r="A869">
        <v>10868</v>
      </c>
      <c r="B869" t="s">
        <v>988</v>
      </c>
      <c r="C869" t="s">
        <v>668</v>
      </c>
      <c r="D869" t="s">
        <v>935</v>
      </c>
      <c r="E869" t="s">
        <v>31</v>
      </c>
      <c r="F869" t="s">
        <v>46</v>
      </c>
      <c r="G869" t="s">
        <v>47</v>
      </c>
      <c r="H869" t="s">
        <v>27</v>
      </c>
      <c r="I869" t="s">
        <v>104</v>
      </c>
      <c r="J869">
        <v>7</v>
      </c>
      <c r="K869">
        <v>464.36</v>
      </c>
      <c r="L869">
        <v>14.64</v>
      </c>
    </row>
    <row r="870" spans="1:12" x14ac:dyDescent="0.25">
      <c r="A870">
        <v>10869</v>
      </c>
      <c r="B870" t="s">
        <v>988</v>
      </c>
      <c r="C870" t="s">
        <v>209</v>
      </c>
      <c r="D870" t="s">
        <v>788</v>
      </c>
      <c r="E870" t="s">
        <v>13</v>
      </c>
      <c r="F870" t="s">
        <v>14</v>
      </c>
      <c r="G870" t="s">
        <v>37</v>
      </c>
      <c r="H870" t="s">
        <v>16</v>
      </c>
      <c r="I870" t="s">
        <v>51</v>
      </c>
      <c r="J870">
        <v>3</v>
      </c>
      <c r="K870">
        <v>2725.93</v>
      </c>
      <c r="L870">
        <v>111.11</v>
      </c>
    </row>
    <row r="871" spans="1:12" x14ac:dyDescent="0.25">
      <c r="A871">
        <v>10870</v>
      </c>
      <c r="B871" t="s">
        <v>988</v>
      </c>
      <c r="C871" t="s">
        <v>144</v>
      </c>
      <c r="D871" t="s">
        <v>321</v>
      </c>
      <c r="E871" t="s">
        <v>13</v>
      </c>
      <c r="F871" t="s">
        <v>46</v>
      </c>
      <c r="G871" t="s">
        <v>47</v>
      </c>
      <c r="H871" t="s">
        <v>16</v>
      </c>
      <c r="I871" t="s">
        <v>43</v>
      </c>
      <c r="J871">
        <v>7</v>
      </c>
      <c r="K871">
        <v>4125.68</v>
      </c>
      <c r="L871">
        <v>453.81</v>
      </c>
    </row>
    <row r="872" spans="1:12" x14ac:dyDescent="0.25">
      <c r="A872">
        <v>10871</v>
      </c>
      <c r="B872" t="s">
        <v>988</v>
      </c>
      <c r="C872" t="s">
        <v>515</v>
      </c>
      <c r="D872" t="s">
        <v>936</v>
      </c>
      <c r="E872" t="s">
        <v>31</v>
      </c>
      <c r="F872" t="s">
        <v>46</v>
      </c>
      <c r="G872" t="s">
        <v>71</v>
      </c>
      <c r="H872" t="s">
        <v>27</v>
      </c>
      <c r="I872" t="s">
        <v>118</v>
      </c>
      <c r="J872">
        <v>2</v>
      </c>
      <c r="K872">
        <v>3451.5</v>
      </c>
      <c r="L872">
        <v>490.64</v>
      </c>
    </row>
    <row r="873" spans="1:12" x14ac:dyDescent="0.25">
      <c r="A873">
        <v>10872</v>
      </c>
      <c r="B873" t="s">
        <v>988</v>
      </c>
      <c r="C873" t="s">
        <v>94</v>
      </c>
      <c r="D873" t="s">
        <v>937</v>
      </c>
      <c r="E873" t="s">
        <v>26</v>
      </c>
      <c r="F873" t="s">
        <v>32</v>
      </c>
      <c r="G873" t="s">
        <v>33</v>
      </c>
      <c r="H873" t="s">
        <v>22</v>
      </c>
      <c r="I873" t="s">
        <v>38</v>
      </c>
      <c r="J873">
        <v>1</v>
      </c>
      <c r="K873">
        <v>579.94000000000005</v>
      </c>
      <c r="L873">
        <v>148.79</v>
      </c>
    </row>
    <row r="874" spans="1:12" x14ac:dyDescent="0.25">
      <c r="A874">
        <v>10873</v>
      </c>
      <c r="B874" t="s">
        <v>988</v>
      </c>
      <c r="C874" t="s">
        <v>324</v>
      </c>
      <c r="D874" t="s">
        <v>695</v>
      </c>
      <c r="E874" t="s">
        <v>13</v>
      </c>
      <c r="F874" t="s">
        <v>46</v>
      </c>
      <c r="G874" t="s">
        <v>47</v>
      </c>
      <c r="H874" t="s">
        <v>16</v>
      </c>
      <c r="I874" t="s">
        <v>51</v>
      </c>
      <c r="J874">
        <v>2</v>
      </c>
      <c r="K874">
        <v>2691.9</v>
      </c>
      <c r="L874">
        <v>519.44000000000005</v>
      </c>
    </row>
    <row r="875" spans="1:12" x14ac:dyDescent="0.25">
      <c r="A875">
        <v>10874</v>
      </c>
      <c r="B875" t="s">
        <v>988</v>
      </c>
      <c r="C875" t="s">
        <v>262</v>
      </c>
      <c r="D875" t="s">
        <v>198</v>
      </c>
      <c r="E875" t="s">
        <v>13</v>
      </c>
      <c r="F875" t="s">
        <v>14</v>
      </c>
      <c r="G875" t="s">
        <v>15</v>
      </c>
      <c r="H875" t="s">
        <v>22</v>
      </c>
      <c r="I875" t="s">
        <v>38</v>
      </c>
      <c r="J875">
        <v>7</v>
      </c>
      <c r="K875">
        <v>985.3</v>
      </c>
      <c r="L875">
        <v>180.04</v>
      </c>
    </row>
    <row r="876" spans="1:12" x14ac:dyDescent="0.25">
      <c r="A876">
        <v>10875</v>
      </c>
      <c r="B876" t="s">
        <v>988</v>
      </c>
      <c r="C876" t="s">
        <v>886</v>
      </c>
      <c r="D876" t="s">
        <v>564</v>
      </c>
      <c r="E876" t="s">
        <v>31</v>
      </c>
      <c r="F876" t="s">
        <v>20</v>
      </c>
      <c r="G876" t="s">
        <v>76</v>
      </c>
      <c r="H876" t="s">
        <v>16</v>
      </c>
      <c r="I876" t="s">
        <v>43</v>
      </c>
      <c r="J876">
        <v>5</v>
      </c>
      <c r="K876">
        <v>146.54</v>
      </c>
      <c r="L876">
        <v>10.59</v>
      </c>
    </row>
    <row r="877" spans="1:12" x14ac:dyDescent="0.25">
      <c r="A877">
        <v>10876</v>
      </c>
      <c r="B877" t="s">
        <v>988</v>
      </c>
      <c r="C877" t="s">
        <v>641</v>
      </c>
      <c r="D877" t="s">
        <v>938</v>
      </c>
      <c r="E877" t="s">
        <v>31</v>
      </c>
      <c r="F877" t="s">
        <v>32</v>
      </c>
      <c r="G877" t="s">
        <v>33</v>
      </c>
      <c r="H877" t="s">
        <v>16</v>
      </c>
      <c r="I877" t="s">
        <v>17</v>
      </c>
      <c r="J877">
        <v>4</v>
      </c>
      <c r="K877">
        <v>3423.25</v>
      </c>
      <c r="L877">
        <v>483.32</v>
      </c>
    </row>
    <row r="878" spans="1:12" x14ac:dyDescent="0.25">
      <c r="A878">
        <v>10877</v>
      </c>
      <c r="B878" t="s">
        <v>988</v>
      </c>
      <c r="C878" t="s">
        <v>112</v>
      </c>
      <c r="D878" t="s">
        <v>939</v>
      </c>
      <c r="E878" t="s">
        <v>26</v>
      </c>
      <c r="F878" t="s">
        <v>32</v>
      </c>
      <c r="G878" t="s">
        <v>54</v>
      </c>
      <c r="H878" t="s">
        <v>27</v>
      </c>
      <c r="I878" t="s">
        <v>104</v>
      </c>
      <c r="J878">
        <v>5</v>
      </c>
      <c r="K878">
        <v>3214.61</v>
      </c>
      <c r="L878">
        <v>200.04</v>
      </c>
    </row>
    <row r="879" spans="1:12" x14ac:dyDescent="0.25">
      <c r="A879">
        <v>10878</v>
      </c>
      <c r="B879" t="s">
        <v>988</v>
      </c>
      <c r="C879" t="s">
        <v>67</v>
      </c>
      <c r="D879" t="s">
        <v>723</v>
      </c>
      <c r="E879" t="s">
        <v>26</v>
      </c>
      <c r="F879" t="s">
        <v>14</v>
      </c>
      <c r="G879" t="s">
        <v>15</v>
      </c>
      <c r="H879" t="s">
        <v>16</v>
      </c>
      <c r="I879" t="s">
        <v>43</v>
      </c>
      <c r="J879">
        <v>2</v>
      </c>
      <c r="K879">
        <v>909.05</v>
      </c>
      <c r="L879">
        <v>-15.84</v>
      </c>
    </row>
    <row r="880" spans="1:12" x14ac:dyDescent="0.25">
      <c r="A880">
        <v>10879</v>
      </c>
      <c r="B880" t="s">
        <v>988</v>
      </c>
      <c r="C880" t="s">
        <v>253</v>
      </c>
      <c r="D880" t="s">
        <v>275</v>
      </c>
      <c r="E880" t="s">
        <v>31</v>
      </c>
      <c r="F880" t="s">
        <v>20</v>
      </c>
      <c r="G880" t="s">
        <v>21</v>
      </c>
      <c r="H880" t="s">
        <v>27</v>
      </c>
      <c r="I880" t="s">
        <v>77</v>
      </c>
      <c r="J880">
        <v>2</v>
      </c>
      <c r="K880">
        <v>2086.81</v>
      </c>
      <c r="L880">
        <v>334.77</v>
      </c>
    </row>
    <row r="881" spans="1:12" x14ac:dyDescent="0.25">
      <c r="A881">
        <v>10880</v>
      </c>
      <c r="B881" t="s">
        <v>988</v>
      </c>
      <c r="C881" t="s">
        <v>165</v>
      </c>
      <c r="D881" t="s">
        <v>327</v>
      </c>
      <c r="E881" t="s">
        <v>26</v>
      </c>
      <c r="F881" t="s">
        <v>32</v>
      </c>
      <c r="G881" t="s">
        <v>33</v>
      </c>
      <c r="H881" t="s">
        <v>16</v>
      </c>
      <c r="I881" t="s">
        <v>81</v>
      </c>
      <c r="J881">
        <v>8</v>
      </c>
      <c r="K881">
        <v>4826.7700000000004</v>
      </c>
      <c r="L881">
        <v>967.09</v>
      </c>
    </row>
    <row r="882" spans="1:12" x14ac:dyDescent="0.25">
      <c r="A882">
        <v>10881</v>
      </c>
      <c r="B882" t="s">
        <v>988</v>
      </c>
      <c r="C882" t="s">
        <v>374</v>
      </c>
      <c r="D882" t="s">
        <v>207</v>
      </c>
      <c r="E882" t="s">
        <v>13</v>
      </c>
      <c r="F882" t="s">
        <v>14</v>
      </c>
      <c r="G882" t="s">
        <v>37</v>
      </c>
      <c r="H882" t="s">
        <v>22</v>
      </c>
      <c r="I882" t="s">
        <v>38</v>
      </c>
      <c r="J882">
        <v>1</v>
      </c>
      <c r="K882">
        <v>2171.34</v>
      </c>
      <c r="L882">
        <v>277.02</v>
      </c>
    </row>
    <row r="883" spans="1:12" x14ac:dyDescent="0.25">
      <c r="A883">
        <v>10882</v>
      </c>
      <c r="B883" t="s">
        <v>988</v>
      </c>
      <c r="C883" t="s">
        <v>475</v>
      </c>
      <c r="D883" t="s">
        <v>940</v>
      </c>
      <c r="E883" t="s">
        <v>26</v>
      </c>
      <c r="F883" t="s">
        <v>46</v>
      </c>
      <c r="G883" t="s">
        <v>71</v>
      </c>
      <c r="H883" t="s">
        <v>27</v>
      </c>
      <c r="I883" t="s">
        <v>28</v>
      </c>
      <c r="J883">
        <v>8</v>
      </c>
      <c r="K883">
        <v>1538.37</v>
      </c>
      <c r="L883">
        <v>85.06</v>
      </c>
    </row>
    <row r="884" spans="1:12" x14ac:dyDescent="0.25">
      <c r="A884">
        <v>10883</v>
      </c>
      <c r="B884" t="s">
        <v>988</v>
      </c>
      <c r="C884" t="s">
        <v>39</v>
      </c>
      <c r="D884" t="s">
        <v>589</v>
      </c>
      <c r="E884" t="s">
        <v>26</v>
      </c>
      <c r="F884" t="s">
        <v>32</v>
      </c>
      <c r="G884" t="s">
        <v>33</v>
      </c>
      <c r="H884" t="s">
        <v>27</v>
      </c>
      <c r="I884" t="s">
        <v>77</v>
      </c>
      <c r="J884">
        <v>1</v>
      </c>
      <c r="K884">
        <v>1843.15</v>
      </c>
      <c r="L884">
        <v>342.93</v>
      </c>
    </row>
    <row r="885" spans="1:12" x14ac:dyDescent="0.25">
      <c r="A885">
        <v>10884</v>
      </c>
      <c r="B885" t="s">
        <v>988</v>
      </c>
      <c r="C885" t="s">
        <v>69</v>
      </c>
      <c r="D885" t="s">
        <v>899</v>
      </c>
      <c r="E885" t="s">
        <v>31</v>
      </c>
      <c r="F885" t="s">
        <v>32</v>
      </c>
      <c r="G885" t="s">
        <v>33</v>
      </c>
      <c r="H885" t="s">
        <v>27</v>
      </c>
      <c r="I885" t="s">
        <v>28</v>
      </c>
      <c r="J885">
        <v>1</v>
      </c>
      <c r="K885">
        <v>596.55999999999995</v>
      </c>
      <c r="L885">
        <v>94.74</v>
      </c>
    </row>
    <row r="886" spans="1:12" x14ac:dyDescent="0.25">
      <c r="A886">
        <v>10885</v>
      </c>
      <c r="B886" t="s">
        <v>988</v>
      </c>
      <c r="C886" t="s">
        <v>142</v>
      </c>
      <c r="D886" t="s">
        <v>941</v>
      </c>
      <c r="E886" t="s">
        <v>13</v>
      </c>
      <c r="F886" t="s">
        <v>14</v>
      </c>
      <c r="G886" t="s">
        <v>37</v>
      </c>
      <c r="H886" t="s">
        <v>22</v>
      </c>
      <c r="I886" t="s">
        <v>48</v>
      </c>
      <c r="J886">
        <v>5</v>
      </c>
      <c r="K886">
        <v>1207.8699999999999</v>
      </c>
      <c r="L886">
        <v>149.85</v>
      </c>
    </row>
    <row r="887" spans="1:12" x14ac:dyDescent="0.25">
      <c r="A887">
        <v>10886</v>
      </c>
      <c r="B887" t="s">
        <v>988</v>
      </c>
      <c r="C887" t="s">
        <v>326</v>
      </c>
      <c r="D887" t="s">
        <v>217</v>
      </c>
      <c r="E887" t="s">
        <v>26</v>
      </c>
      <c r="F887" t="s">
        <v>32</v>
      </c>
      <c r="G887" t="s">
        <v>33</v>
      </c>
      <c r="H887" t="s">
        <v>27</v>
      </c>
      <c r="I887" t="s">
        <v>77</v>
      </c>
      <c r="J887">
        <v>3</v>
      </c>
      <c r="K887">
        <v>785.38</v>
      </c>
      <c r="L887">
        <v>185.38</v>
      </c>
    </row>
    <row r="888" spans="1:12" x14ac:dyDescent="0.25">
      <c r="A888">
        <v>10887</v>
      </c>
      <c r="B888" t="s">
        <v>988</v>
      </c>
      <c r="C888" t="s">
        <v>716</v>
      </c>
      <c r="D888" t="s">
        <v>217</v>
      </c>
      <c r="E888" t="s">
        <v>31</v>
      </c>
      <c r="F888" t="s">
        <v>46</v>
      </c>
      <c r="G888" t="s">
        <v>47</v>
      </c>
      <c r="H888" t="s">
        <v>22</v>
      </c>
      <c r="I888" t="s">
        <v>48</v>
      </c>
      <c r="J888">
        <v>7</v>
      </c>
      <c r="K888">
        <v>2163.17</v>
      </c>
      <c r="L888">
        <v>284.12</v>
      </c>
    </row>
    <row r="889" spans="1:12" x14ac:dyDescent="0.25">
      <c r="A889">
        <v>10888</v>
      </c>
      <c r="B889" t="s">
        <v>988</v>
      </c>
      <c r="C889" t="s">
        <v>942</v>
      </c>
      <c r="D889" t="s">
        <v>943</v>
      </c>
      <c r="E889" t="s">
        <v>13</v>
      </c>
      <c r="F889" t="s">
        <v>32</v>
      </c>
      <c r="G889" t="s">
        <v>33</v>
      </c>
      <c r="H889" t="s">
        <v>27</v>
      </c>
      <c r="I889" t="s">
        <v>77</v>
      </c>
      <c r="J889">
        <v>8</v>
      </c>
      <c r="K889">
        <v>4019.12</v>
      </c>
      <c r="L889">
        <v>886.2</v>
      </c>
    </row>
    <row r="890" spans="1:12" x14ac:dyDescent="0.25">
      <c r="A890">
        <v>10889</v>
      </c>
      <c r="B890" t="s">
        <v>988</v>
      </c>
      <c r="C890" t="s">
        <v>279</v>
      </c>
      <c r="D890" t="s">
        <v>944</v>
      </c>
      <c r="E890" t="s">
        <v>26</v>
      </c>
      <c r="F890" t="s">
        <v>20</v>
      </c>
      <c r="G890" t="s">
        <v>21</v>
      </c>
      <c r="H890" t="s">
        <v>22</v>
      </c>
      <c r="I890" t="s">
        <v>23</v>
      </c>
      <c r="J890">
        <v>1</v>
      </c>
      <c r="K890">
        <v>718.01</v>
      </c>
      <c r="L890">
        <v>96.31</v>
      </c>
    </row>
    <row r="891" spans="1:12" x14ac:dyDescent="0.25">
      <c r="A891">
        <v>10890</v>
      </c>
      <c r="B891" t="s">
        <v>988</v>
      </c>
      <c r="C891" t="s">
        <v>142</v>
      </c>
      <c r="D891" t="s">
        <v>818</v>
      </c>
      <c r="E891" t="s">
        <v>13</v>
      </c>
      <c r="F891" t="s">
        <v>32</v>
      </c>
      <c r="G891" t="s">
        <v>54</v>
      </c>
      <c r="H891" t="s">
        <v>16</v>
      </c>
      <c r="I891" t="s">
        <v>81</v>
      </c>
      <c r="J891">
        <v>7</v>
      </c>
      <c r="K891">
        <v>2452.9499999999998</v>
      </c>
      <c r="L891">
        <v>287.45999999999998</v>
      </c>
    </row>
    <row r="892" spans="1:12" x14ac:dyDescent="0.25">
      <c r="A892">
        <v>10891</v>
      </c>
      <c r="B892" t="s">
        <v>988</v>
      </c>
      <c r="C892" t="s">
        <v>142</v>
      </c>
      <c r="D892" t="s">
        <v>217</v>
      </c>
      <c r="E892" t="s">
        <v>31</v>
      </c>
      <c r="F892" t="s">
        <v>46</v>
      </c>
      <c r="G892" t="s">
        <v>71</v>
      </c>
      <c r="H892" t="s">
        <v>22</v>
      </c>
      <c r="I892" t="s">
        <v>38</v>
      </c>
      <c r="J892">
        <v>2</v>
      </c>
      <c r="K892">
        <v>4334.42</v>
      </c>
      <c r="L892">
        <v>1269.3699999999999</v>
      </c>
    </row>
    <row r="893" spans="1:12" x14ac:dyDescent="0.25">
      <c r="A893">
        <v>10892</v>
      </c>
      <c r="B893" t="s">
        <v>988</v>
      </c>
      <c r="C893" t="s">
        <v>403</v>
      </c>
      <c r="D893" t="s">
        <v>945</v>
      </c>
      <c r="E893" t="s">
        <v>31</v>
      </c>
      <c r="F893" t="s">
        <v>14</v>
      </c>
      <c r="G893" t="s">
        <v>15</v>
      </c>
      <c r="H893" t="s">
        <v>22</v>
      </c>
      <c r="I893" t="s">
        <v>48</v>
      </c>
      <c r="J893">
        <v>4</v>
      </c>
      <c r="K893">
        <v>690.26</v>
      </c>
      <c r="L893">
        <v>76.37</v>
      </c>
    </row>
    <row r="894" spans="1:12" x14ac:dyDescent="0.25">
      <c r="A894">
        <v>10893</v>
      </c>
      <c r="B894" t="s">
        <v>988</v>
      </c>
      <c r="C894" t="s">
        <v>946</v>
      </c>
      <c r="D894" t="s">
        <v>650</v>
      </c>
      <c r="E894" t="s">
        <v>31</v>
      </c>
      <c r="F894" t="s">
        <v>14</v>
      </c>
      <c r="G894" t="s">
        <v>15</v>
      </c>
      <c r="H894" t="s">
        <v>22</v>
      </c>
      <c r="I894" t="s">
        <v>23</v>
      </c>
      <c r="J894">
        <v>7</v>
      </c>
      <c r="K894">
        <v>2095.7600000000002</v>
      </c>
      <c r="L894">
        <v>202.02</v>
      </c>
    </row>
    <row r="895" spans="1:12" x14ac:dyDescent="0.25">
      <c r="A895">
        <v>10894</v>
      </c>
      <c r="B895" t="s">
        <v>988</v>
      </c>
      <c r="C895" t="s">
        <v>268</v>
      </c>
      <c r="D895" t="s">
        <v>320</v>
      </c>
      <c r="E895" t="s">
        <v>31</v>
      </c>
      <c r="F895" t="s">
        <v>20</v>
      </c>
      <c r="G895" t="s">
        <v>76</v>
      </c>
      <c r="H895" t="s">
        <v>22</v>
      </c>
      <c r="I895" t="s">
        <v>34</v>
      </c>
      <c r="J895">
        <v>1</v>
      </c>
      <c r="K895">
        <v>1591.02</v>
      </c>
      <c r="L895">
        <v>158.59</v>
      </c>
    </row>
    <row r="896" spans="1:12" x14ac:dyDescent="0.25">
      <c r="A896">
        <v>10895</v>
      </c>
      <c r="B896" t="s">
        <v>988</v>
      </c>
      <c r="C896" t="s">
        <v>360</v>
      </c>
      <c r="D896" t="s">
        <v>947</v>
      </c>
      <c r="E896" t="s">
        <v>31</v>
      </c>
      <c r="F896" t="s">
        <v>46</v>
      </c>
      <c r="G896" t="s">
        <v>47</v>
      </c>
      <c r="H896" t="s">
        <v>22</v>
      </c>
      <c r="I896" t="s">
        <v>48</v>
      </c>
      <c r="J896">
        <v>1</v>
      </c>
      <c r="K896">
        <v>102.63</v>
      </c>
      <c r="L896">
        <v>-10.09</v>
      </c>
    </row>
    <row r="897" spans="1:12" x14ac:dyDescent="0.25">
      <c r="A897">
        <v>10896</v>
      </c>
      <c r="B897" t="s">
        <v>988</v>
      </c>
      <c r="C897" t="s">
        <v>948</v>
      </c>
      <c r="D897" t="s">
        <v>949</v>
      </c>
      <c r="E897" t="s">
        <v>13</v>
      </c>
      <c r="F897" t="s">
        <v>14</v>
      </c>
      <c r="G897" t="s">
        <v>37</v>
      </c>
      <c r="H897" t="s">
        <v>22</v>
      </c>
      <c r="I897" t="s">
        <v>38</v>
      </c>
      <c r="J897">
        <v>8</v>
      </c>
      <c r="K897">
        <v>1881.55</v>
      </c>
      <c r="L897">
        <v>227.55</v>
      </c>
    </row>
    <row r="898" spans="1:12" x14ac:dyDescent="0.25">
      <c r="A898">
        <v>10897</v>
      </c>
      <c r="B898" t="s">
        <v>988</v>
      </c>
      <c r="C898" t="s">
        <v>538</v>
      </c>
      <c r="D898" t="s">
        <v>734</v>
      </c>
      <c r="E898" t="s">
        <v>26</v>
      </c>
      <c r="F898" t="s">
        <v>46</v>
      </c>
      <c r="G898" t="s">
        <v>47</v>
      </c>
      <c r="H898" t="s">
        <v>27</v>
      </c>
      <c r="I898" t="s">
        <v>28</v>
      </c>
      <c r="J898">
        <v>6</v>
      </c>
      <c r="K898">
        <v>1267.44</v>
      </c>
      <c r="L898">
        <v>92.38</v>
      </c>
    </row>
    <row r="899" spans="1:12" x14ac:dyDescent="0.25">
      <c r="A899">
        <v>10898</v>
      </c>
      <c r="B899" t="s">
        <v>988</v>
      </c>
      <c r="C899" t="s">
        <v>11</v>
      </c>
      <c r="D899" t="s">
        <v>870</v>
      </c>
      <c r="E899" t="s">
        <v>31</v>
      </c>
      <c r="F899" t="s">
        <v>14</v>
      </c>
      <c r="G899" t="s">
        <v>15</v>
      </c>
      <c r="H899" t="s">
        <v>16</v>
      </c>
      <c r="I899" t="s">
        <v>43</v>
      </c>
      <c r="J899">
        <v>4</v>
      </c>
      <c r="K899">
        <v>3552.83</v>
      </c>
      <c r="L899">
        <v>992.19</v>
      </c>
    </row>
    <row r="900" spans="1:12" x14ac:dyDescent="0.25">
      <c r="A900">
        <v>10899</v>
      </c>
      <c r="B900" t="s">
        <v>988</v>
      </c>
      <c r="C900" t="s">
        <v>837</v>
      </c>
      <c r="D900" t="s">
        <v>789</v>
      </c>
      <c r="E900" t="s">
        <v>31</v>
      </c>
      <c r="F900" t="s">
        <v>32</v>
      </c>
      <c r="G900" t="s">
        <v>54</v>
      </c>
      <c r="H900" t="s">
        <v>22</v>
      </c>
      <c r="I900" t="s">
        <v>48</v>
      </c>
      <c r="J900">
        <v>1</v>
      </c>
      <c r="K900">
        <v>726.38</v>
      </c>
      <c r="L900">
        <v>41.1</v>
      </c>
    </row>
    <row r="901" spans="1:12" x14ac:dyDescent="0.25">
      <c r="A901">
        <v>10900</v>
      </c>
      <c r="B901" t="s">
        <v>988</v>
      </c>
      <c r="C901" t="s">
        <v>627</v>
      </c>
      <c r="D901" t="s">
        <v>484</v>
      </c>
      <c r="E901" t="s">
        <v>13</v>
      </c>
      <c r="F901" t="s">
        <v>20</v>
      </c>
      <c r="G901" t="s">
        <v>21</v>
      </c>
      <c r="H901" t="s">
        <v>27</v>
      </c>
      <c r="I901" t="s">
        <v>118</v>
      </c>
      <c r="J901">
        <v>8</v>
      </c>
      <c r="K901">
        <v>2153.12</v>
      </c>
      <c r="L901">
        <v>558.59</v>
      </c>
    </row>
    <row r="902" spans="1:12" x14ac:dyDescent="0.25">
      <c r="A902">
        <v>10901</v>
      </c>
      <c r="B902" t="s">
        <v>988</v>
      </c>
      <c r="C902" t="s">
        <v>477</v>
      </c>
      <c r="D902" t="s">
        <v>474</v>
      </c>
      <c r="E902" t="s">
        <v>13</v>
      </c>
      <c r="F902" t="s">
        <v>32</v>
      </c>
      <c r="G902" t="s">
        <v>33</v>
      </c>
      <c r="H902" t="s">
        <v>27</v>
      </c>
      <c r="I902" t="s">
        <v>118</v>
      </c>
      <c r="J902">
        <v>1</v>
      </c>
      <c r="K902">
        <v>3992.51</v>
      </c>
      <c r="L902">
        <v>818.06</v>
      </c>
    </row>
    <row r="903" spans="1:12" x14ac:dyDescent="0.25">
      <c r="A903">
        <v>10902</v>
      </c>
      <c r="B903" t="s">
        <v>988</v>
      </c>
      <c r="C903" t="s">
        <v>603</v>
      </c>
      <c r="D903" t="s">
        <v>420</v>
      </c>
      <c r="E903" t="s">
        <v>26</v>
      </c>
      <c r="F903" t="s">
        <v>14</v>
      </c>
      <c r="G903" t="s">
        <v>15</v>
      </c>
      <c r="H903" t="s">
        <v>27</v>
      </c>
      <c r="I903" t="s">
        <v>77</v>
      </c>
      <c r="J903">
        <v>7</v>
      </c>
      <c r="K903">
        <v>2064.16</v>
      </c>
      <c r="L903">
        <v>224.9</v>
      </c>
    </row>
    <row r="904" spans="1:12" x14ac:dyDescent="0.25">
      <c r="A904">
        <v>10903</v>
      </c>
      <c r="B904" t="s">
        <v>988</v>
      </c>
      <c r="C904" t="s">
        <v>452</v>
      </c>
      <c r="D904" t="s">
        <v>406</v>
      </c>
      <c r="E904" t="s">
        <v>26</v>
      </c>
      <c r="F904" t="s">
        <v>14</v>
      </c>
      <c r="G904" t="s">
        <v>37</v>
      </c>
      <c r="H904" t="s">
        <v>16</v>
      </c>
      <c r="I904" t="s">
        <v>17</v>
      </c>
      <c r="J904">
        <v>5</v>
      </c>
      <c r="K904">
        <v>4277.13</v>
      </c>
      <c r="L904">
        <v>503.9</v>
      </c>
    </row>
    <row r="905" spans="1:12" x14ac:dyDescent="0.25">
      <c r="A905">
        <v>10904</v>
      </c>
      <c r="B905" t="s">
        <v>988</v>
      </c>
      <c r="C905" t="s">
        <v>639</v>
      </c>
      <c r="D905" t="s">
        <v>399</v>
      </c>
      <c r="E905" t="s">
        <v>26</v>
      </c>
      <c r="F905" t="s">
        <v>14</v>
      </c>
      <c r="G905" t="s">
        <v>15</v>
      </c>
      <c r="H905" t="s">
        <v>27</v>
      </c>
      <c r="I905" t="s">
        <v>118</v>
      </c>
      <c r="J905">
        <v>3</v>
      </c>
      <c r="K905">
        <v>4716.03</v>
      </c>
      <c r="L905">
        <v>549.98</v>
      </c>
    </row>
    <row r="906" spans="1:12" x14ac:dyDescent="0.25">
      <c r="A906">
        <v>10905</v>
      </c>
      <c r="B906" t="s">
        <v>988</v>
      </c>
      <c r="C906" t="s">
        <v>206</v>
      </c>
      <c r="D906" t="s">
        <v>897</v>
      </c>
      <c r="E906" t="s">
        <v>26</v>
      </c>
      <c r="F906" t="s">
        <v>46</v>
      </c>
      <c r="G906" t="s">
        <v>71</v>
      </c>
      <c r="H906" t="s">
        <v>22</v>
      </c>
      <c r="I906" t="s">
        <v>38</v>
      </c>
      <c r="J906">
        <v>6</v>
      </c>
      <c r="K906">
        <v>1690.35</v>
      </c>
      <c r="L906">
        <v>396.07</v>
      </c>
    </row>
    <row r="907" spans="1:12" x14ac:dyDescent="0.25">
      <c r="A907">
        <v>10906</v>
      </c>
      <c r="B907" t="s">
        <v>988</v>
      </c>
      <c r="C907" t="s">
        <v>105</v>
      </c>
      <c r="D907" t="s">
        <v>580</v>
      </c>
      <c r="E907" t="s">
        <v>26</v>
      </c>
      <c r="F907" t="s">
        <v>20</v>
      </c>
      <c r="G907" t="s">
        <v>76</v>
      </c>
      <c r="H907" t="s">
        <v>27</v>
      </c>
      <c r="I907" t="s">
        <v>118</v>
      </c>
      <c r="J907">
        <v>1</v>
      </c>
      <c r="K907">
        <v>4137.2700000000004</v>
      </c>
      <c r="L907">
        <v>337.15</v>
      </c>
    </row>
    <row r="908" spans="1:12" x14ac:dyDescent="0.25">
      <c r="A908">
        <v>10907</v>
      </c>
      <c r="B908" t="s">
        <v>988</v>
      </c>
      <c r="C908" t="s">
        <v>161</v>
      </c>
      <c r="D908" t="s">
        <v>950</v>
      </c>
      <c r="E908" t="s">
        <v>31</v>
      </c>
      <c r="F908" t="s">
        <v>14</v>
      </c>
      <c r="G908" t="s">
        <v>37</v>
      </c>
      <c r="H908" t="s">
        <v>16</v>
      </c>
      <c r="I908" t="s">
        <v>17</v>
      </c>
      <c r="J908">
        <v>4</v>
      </c>
      <c r="K908">
        <v>4102.55</v>
      </c>
      <c r="L908">
        <v>404.54</v>
      </c>
    </row>
    <row r="909" spans="1:12" x14ac:dyDescent="0.25">
      <c r="A909">
        <v>10908</v>
      </c>
      <c r="B909" t="s">
        <v>988</v>
      </c>
      <c r="C909" t="s">
        <v>644</v>
      </c>
      <c r="D909" t="s">
        <v>530</v>
      </c>
      <c r="E909" t="s">
        <v>26</v>
      </c>
      <c r="F909" t="s">
        <v>46</v>
      </c>
      <c r="G909" t="s">
        <v>47</v>
      </c>
      <c r="H909" t="s">
        <v>22</v>
      </c>
      <c r="I909" t="s">
        <v>34</v>
      </c>
      <c r="J909">
        <v>6</v>
      </c>
      <c r="K909">
        <v>826.84</v>
      </c>
      <c r="L909">
        <v>90.76</v>
      </c>
    </row>
    <row r="910" spans="1:12" x14ac:dyDescent="0.25">
      <c r="A910">
        <v>10909</v>
      </c>
      <c r="B910" t="s">
        <v>988</v>
      </c>
      <c r="C910" t="s">
        <v>703</v>
      </c>
      <c r="D910" t="s">
        <v>115</v>
      </c>
      <c r="E910" t="s">
        <v>13</v>
      </c>
      <c r="F910" t="s">
        <v>46</v>
      </c>
      <c r="G910" t="s">
        <v>47</v>
      </c>
      <c r="H910" t="s">
        <v>16</v>
      </c>
      <c r="I910" t="s">
        <v>43</v>
      </c>
      <c r="J910">
        <v>5</v>
      </c>
      <c r="K910">
        <v>203.13</v>
      </c>
      <c r="L910">
        <v>0.66</v>
      </c>
    </row>
    <row r="911" spans="1:12" x14ac:dyDescent="0.25">
      <c r="A911">
        <v>10910</v>
      </c>
      <c r="B911" t="s">
        <v>988</v>
      </c>
      <c r="C911" t="s">
        <v>579</v>
      </c>
      <c r="D911" t="s">
        <v>141</v>
      </c>
      <c r="E911" t="s">
        <v>13</v>
      </c>
      <c r="F911" t="s">
        <v>46</v>
      </c>
      <c r="G911" t="s">
        <v>71</v>
      </c>
      <c r="H911" t="s">
        <v>22</v>
      </c>
      <c r="I911" t="s">
        <v>23</v>
      </c>
      <c r="J911">
        <v>7</v>
      </c>
      <c r="K911">
        <v>1301.74</v>
      </c>
      <c r="L911">
        <v>263.91000000000003</v>
      </c>
    </row>
    <row r="912" spans="1:12" x14ac:dyDescent="0.25">
      <c r="A912">
        <v>10911</v>
      </c>
      <c r="B912" t="s">
        <v>988</v>
      </c>
      <c r="C912" t="s">
        <v>388</v>
      </c>
      <c r="D912" t="s">
        <v>777</v>
      </c>
      <c r="E912" t="s">
        <v>26</v>
      </c>
      <c r="F912" t="s">
        <v>46</v>
      </c>
      <c r="G912" t="s">
        <v>71</v>
      </c>
      <c r="H912" t="s">
        <v>16</v>
      </c>
      <c r="I912" t="s">
        <v>81</v>
      </c>
      <c r="J912">
        <v>7</v>
      </c>
      <c r="K912">
        <v>1981.55</v>
      </c>
      <c r="L912">
        <v>152.22999999999999</v>
      </c>
    </row>
    <row r="913" spans="1:12" x14ac:dyDescent="0.25">
      <c r="A913">
        <v>10912</v>
      </c>
      <c r="B913" t="s">
        <v>988</v>
      </c>
      <c r="C913" t="s">
        <v>84</v>
      </c>
      <c r="D913" t="s">
        <v>621</v>
      </c>
      <c r="E913" t="s">
        <v>31</v>
      </c>
      <c r="F913" t="s">
        <v>46</v>
      </c>
      <c r="G913" t="s">
        <v>71</v>
      </c>
      <c r="H913" t="s">
        <v>27</v>
      </c>
      <c r="I913" t="s">
        <v>104</v>
      </c>
      <c r="J913">
        <v>1</v>
      </c>
      <c r="K913">
        <v>3982.76</v>
      </c>
      <c r="L913">
        <v>129.33000000000001</v>
      </c>
    </row>
    <row r="914" spans="1:12" x14ac:dyDescent="0.25">
      <c r="A914">
        <v>10913</v>
      </c>
      <c r="B914" t="s">
        <v>988</v>
      </c>
      <c r="C914" t="s">
        <v>357</v>
      </c>
      <c r="D914" t="s">
        <v>884</v>
      </c>
      <c r="E914" t="s">
        <v>13</v>
      </c>
      <c r="F914" t="s">
        <v>14</v>
      </c>
      <c r="G914" t="s">
        <v>15</v>
      </c>
      <c r="H914" t="s">
        <v>22</v>
      </c>
      <c r="I914" t="s">
        <v>34</v>
      </c>
      <c r="J914">
        <v>8</v>
      </c>
      <c r="K914">
        <v>4095.78</v>
      </c>
      <c r="L914">
        <v>471.64</v>
      </c>
    </row>
    <row r="915" spans="1:12" x14ac:dyDescent="0.25">
      <c r="A915">
        <v>10914</v>
      </c>
      <c r="B915" t="s">
        <v>988</v>
      </c>
      <c r="C915" t="s">
        <v>858</v>
      </c>
      <c r="D915" t="s">
        <v>951</v>
      </c>
      <c r="E915" t="s">
        <v>26</v>
      </c>
      <c r="F915" t="s">
        <v>32</v>
      </c>
      <c r="G915" t="s">
        <v>33</v>
      </c>
      <c r="H915" t="s">
        <v>22</v>
      </c>
      <c r="I915" t="s">
        <v>23</v>
      </c>
      <c r="J915">
        <v>2</v>
      </c>
      <c r="K915">
        <v>2768.75</v>
      </c>
      <c r="L915">
        <v>120.79</v>
      </c>
    </row>
    <row r="916" spans="1:12" x14ac:dyDescent="0.25">
      <c r="A916">
        <v>10915</v>
      </c>
      <c r="B916" t="s">
        <v>988</v>
      </c>
      <c r="C916" t="s">
        <v>279</v>
      </c>
      <c r="D916" t="s">
        <v>904</v>
      </c>
      <c r="E916" t="s">
        <v>13</v>
      </c>
      <c r="F916" t="s">
        <v>46</v>
      </c>
      <c r="G916" t="s">
        <v>71</v>
      </c>
      <c r="H916" t="s">
        <v>22</v>
      </c>
      <c r="I916" t="s">
        <v>34</v>
      </c>
      <c r="J916">
        <v>7</v>
      </c>
      <c r="K916">
        <v>822.14</v>
      </c>
      <c r="L916">
        <v>153.22</v>
      </c>
    </row>
    <row r="917" spans="1:12" x14ac:dyDescent="0.25">
      <c r="A917">
        <v>10916</v>
      </c>
      <c r="B917" t="s">
        <v>988</v>
      </c>
      <c r="C917" t="s">
        <v>336</v>
      </c>
      <c r="D917" t="s">
        <v>952</v>
      </c>
      <c r="E917" t="s">
        <v>26</v>
      </c>
      <c r="F917" t="s">
        <v>14</v>
      </c>
      <c r="G917" t="s">
        <v>37</v>
      </c>
      <c r="H917" t="s">
        <v>22</v>
      </c>
      <c r="I917" t="s">
        <v>23</v>
      </c>
      <c r="J917">
        <v>4</v>
      </c>
      <c r="K917">
        <v>598.51</v>
      </c>
      <c r="L917">
        <v>137.22</v>
      </c>
    </row>
    <row r="918" spans="1:12" x14ac:dyDescent="0.25">
      <c r="A918">
        <v>10917</v>
      </c>
      <c r="B918" t="s">
        <v>988</v>
      </c>
      <c r="C918" t="s">
        <v>451</v>
      </c>
      <c r="D918" t="s">
        <v>953</v>
      </c>
      <c r="E918" t="s">
        <v>13</v>
      </c>
      <c r="F918" t="s">
        <v>32</v>
      </c>
      <c r="G918" t="s">
        <v>33</v>
      </c>
      <c r="H918" t="s">
        <v>22</v>
      </c>
      <c r="I918" t="s">
        <v>48</v>
      </c>
      <c r="J918">
        <v>3</v>
      </c>
      <c r="K918">
        <v>2200.2800000000002</v>
      </c>
      <c r="L918">
        <v>276.07</v>
      </c>
    </row>
    <row r="919" spans="1:12" x14ac:dyDescent="0.25">
      <c r="A919">
        <v>10918</v>
      </c>
      <c r="B919" t="s">
        <v>988</v>
      </c>
      <c r="C919" t="s">
        <v>415</v>
      </c>
      <c r="D919" t="s">
        <v>954</v>
      </c>
      <c r="E919" t="s">
        <v>26</v>
      </c>
      <c r="F919" t="s">
        <v>32</v>
      </c>
      <c r="G919" t="s">
        <v>54</v>
      </c>
      <c r="H919" t="s">
        <v>27</v>
      </c>
      <c r="I919" t="s">
        <v>118</v>
      </c>
      <c r="J919">
        <v>5</v>
      </c>
      <c r="K919">
        <v>4589.55</v>
      </c>
      <c r="L919">
        <v>895.45</v>
      </c>
    </row>
    <row r="920" spans="1:12" x14ac:dyDescent="0.25">
      <c r="A920">
        <v>10919</v>
      </c>
      <c r="B920" t="s">
        <v>988</v>
      </c>
      <c r="C920" t="s">
        <v>955</v>
      </c>
      <c r="D920" t="s">
        <v>456</v>
      </c>
      <c r="E920" t="s">
        <v>26</v>
      </c>
      <c r="F920" t="s">
        <v>14</v>
      </c>
      <c r="G920" t="s">
        <v>15</v>
      </c>
      <c r="H920" t="s">
        <v>16</v>
      </c>
      <c r="I920" t="s">
        <v>43</v>
      </c>
      <c r="J920">
        <v>6</v>
      </c>
      <c r="K920">
        <v>824.12</v>
      </c>
      <c r="L920">
        <v>53.55</v>
      </c>
    </row>
    <row r="921" spans="1:12" x14ac:dyDescent="0.25">
      <c r="A921">
        <v>10920</v>
      </c>
      <c r="B921" t="s">
        <v>988</v>
      </c>
      <c r="C921" t="s">
        <v>784</v>
      </c>
      <c r="D921" t="s">
        <v>956</v>
      </c>
      <c r="E921" t="s">
        <v>31</v>
      </c>
      <c r="F921" t="s">
        <v>14</v>
      </c>
      <c r="G921" t="s">
        <v>37</v>
      </c>
      <c r="H921" t="s">
        <v>16</v>
      </c>
      <c r="I921" t="s">
        <v>17</v>
      </c>
      <c r="J921">
        <v>3</v>
      </c>
      <c r="K921">
        <v>543.19000000000005</v>
      </c>
      <c r="L921">
        <v>144.06</v>
      </c>
    </row>
    <row r="922" spans="1:12" x14ac:dyDescent="0.25">
      <c r="A922">
        <v>10921</v>
      </c>
      <c r="B922" t="s">
        <v>988</v>
      </c>
      <c r="C922" t="s">
        <v>567</v>
      </c>
      <c r="D922" t="s">
        <v>287</v>
      </c>
      <c r="E922" t="s">
        <v>13</v>
      </c>
      <c r="F922" t="s">
        <v>20</v>
      </c>
      <c r="G922" t="s">
        <v>76</v>
      </c>
      <c r="H922" t="s">
        <v>27</v>
      </c>
      <c r="I922" t="s">
        <v>77</v>
      </c>
      <c r="J922">
        <v>6</v>
      </c>
      <c r="K922">
        <v>777.28</v>
      </c>
      <c r="L922">
        <v>130.15</v>
      </c>
    </row>
    <row r="923" spans="1:12" x14ac:dyDescent="0.25">
      <c r="A923">
        <v>10922</v>
      </c>
      <c r="B923" t="s">
        <v>988</v>
      </c>
      <c r="C923" t="s">
        <v>573</v>
      </c>
      <c r="D923" t="s">
        <v>957</v>
      </c>
      <c r="E923" t="s">
        <v>13</v>
      </c>
      <c r="F923" t="s">
        <v>20</v>
      </c>
      <c r="G923" t="s">
        <v>76</v>
      </c>
      <c r="H923" t="s">
        <v>16</v>
      </c>
      <c r="I923" t="s">
        <v>43</v>
      </c>
      <c r="J923">
        <v>7</v>
      </c>
      <c r="K923">
        <v>509.73</v>
      </c>
      <c r="L923">
        <v>63.9</v>
      </c>
    </row>
    <row r="924" spans="1:12" x14ac:dyDescent="0.25">
      <c r="A924">
        <v>10923</v>
      </c>
      <c r="B924" t="s">
        <v>988</v>
      </c>
      <c r="C924" t="s">
        <v>203</v>
      </c>
      <c r="D924" t="s">
        <v>302</v>
      </c>
      <c r="E924" t="s">
        <v>26</v>
      </c>
      <c r="F924" t="s">
        <v>46</v>
      </c>
      <c r="G924" t="s">
        <v>71</v>
      </c>
      <c r="H924" t="s">
        <v>22</v>
      </c>
      <c r="I924" t="s">
        <v>38</v>
      </c>
      <c r="J924">
        <v>1</v>
      </c>
      <c r="K924">
        <v>1096.07</v>
      </c>
      <c r="L924">
        <v>251.64</v>
      </c>
    </row>
    <row r="925" spans="1:12" x14ac:dyDescent="0.25">
      <c r="A925">
        <v>10924</v>
      </c>
      <c r="B925" t="s">
        <v>988</v>
      </c>
      <c r="C925" t="s">
        <v>152</v>
      </c>
      <c r="D925" t="s">
        <v>958</v>
      </c>
      <c r="E925" t="s">
        <v>26</v>
      </c>
      <c r="F925" t="s">
        <v>14</v>
      </c>
      <c r="G925" t="s">
        <v>37</v>
      </c>
      <c r="H925" t="s">
        <v>27</v>
      </c>
      <c r="I925" t="s">
        <v>104</v>
      </c>
      <c r="J925">
        <v>5</v>
      </c>
      <c r="K925">
        <v>2355.9</v>
      </c>
      <c r="L925">
        <v>554.59</v>
      </c>
    </row>
    <row r="926" spans="1:12" x14ac:dyDescent="0.25">
      <c r="A926">
        <v>10925</v>
      </c>
      <c r="B926" t="s">
        <v>988</v>
      </c>
      <c r="C926" t="s">
        <v>664</v>
      </c>
      <c r="D926" t="s">
        <v>766</v>
      </c>
      <c r="E926" t="s">
        <v>31</v>
      </c>
      <c r="F926" t="s">
        <v>46</v>
      </c>
      <c r="G926" t="s">
        <v>71</v>
      </c>
      <c r="H926" t="s">
        <v>16</v>
      </c>
      <c r="I926" t="s">
        <v>43</v>
      </c>
      <c r="J926">
        <v>2</v>
      </c>
      <c r="K926">
        <v>4814.05</v>
      </c>
      <c r="L926">
        <v>1050.18</v>
      </c>
    </row>
    <row r="927" spans="1:12" x14ac:dyDescent="0.25">
      <c r="A927">
        <v>10926</v>
      </c>
      <c r="B927" t="s">
        <v>988</v>
      </c>
      <c r="C927" t="s">
        <v>929</v>
      </c>
      <c r="D927" t="s">
        <v>340</v>
      </c>
      <c r="E927" t="s">
        <v>26</v>
      </c>
      <c r="F927" t="s">
        <v>32</v>
      </c>
      <c r="G927" t="s">
        <v>33</v>
      </c>
      <c r="H927" t="s">
        <v>16</v>
      </c>
      <c r="I927" t="s">
        <v>81</v>
      </c>
      <c r="J927">
        <v>2</v>
      </c>
      <c r="K927">
        <v>2436.4499999999998</v>
      </c>
      <c r="L927">
        <v>467.77</v>
      </c>
    </row>
    <row r="928" spans="1:12" x14ac:dyDescent="0.25">
      <c r="A928">
        <v>10927</v>
      </c>
      <c r="B928" t="s">
        <v>988</v>
      </c>
      <c r="C928" t="s">
        <v>286</v>
      </c>
      <c r="D928" t="s">
        <v>959</v>
      </c>
      <c r="E928" t="s">
        <v>31</v>
      </c>
      <c r="F928" t="s">
        <v>14</v>
      </c>
      <c r="G928" t="s">
        <v>15</v>
      </c>
      <c r="H928" t="s">
        <v>22</v>
      </c>
      <c r="I928" t="s">
        <v>23</v>
      </c>
      <c r="J928">
        <v>7</v>
      </c>
      <c r="K928">
        <v>833.61</v>
      </c>
      <c r="L928">
        <v>5.34</v>
      </c>
    </row>
    <row r="929" spans="1:12" x14ac:dyDescent="0.25">
      <c r="A929">
        <v>10928</v>
      </c>
      <c r="B929" t="s">
        <v>988</v>
      </c>
      <c r="C929" t="s">
        <v>960</v>
      </c>
      <c r="D929" t="s">
        <v>911</v>
      </c>
      <c r="E929" t="s">
        <v>13</v>
      </c>
      <c r="F929" t="s">
        <v>20</v>
      </c>
      <c r="G929" t="s">
        <v>76</v>
      </c>
      <c r="H929" t="s">
        <v>16</v>
      </c>
      <c r="I929" t="s">
        <v>17</v>
      </c>
      <c r="J929">
        <v>8</v>
      </c>
      <c r="K929">
        <v>3928.84</v>
      </c>
      <c r="L929">
        <v>850.64</v>
      </c>
    </row>
    <row r="930" spans="1:12" x14ac:dyDescent="0.25">
      <c r="A930">
        <v>10929</v>
      </c>
      <c r="B930" t="s">
        <v>988</v>
      </c>
      <c r="C930" t="s">
        <v>245</v>
      </c>
      <c r="D930" t="s">
        <v>961</v>
      </c>
      <c r="E930" t="s">
        <v>13</v>
      </c>
      <c r="F930" t="s">
        <v>14</v>
      </c>
      <c r="G930" t="s">
        <v>15</v>
      </c>
      <c r="H930" t="s">
        <v>16</v>
      </c>
      <c r="I930" t="s">
        <v>43</v>
      </c>
      <c r="J930">
        <v>1</v>
      </c>
      <c r="K930">
        <v>2042.31</v>
      </c>
      <c r="L930">
        <v>223.58</v>
      </c>
    </row>
    <row r="931" spans="1:12" x14ac:dyDescent="0.25">
      <c r="A931">
        <v>10930</v>
      </c>
      <c r="B931" t="s">
        <v>988</v>
      </c>
      <c r="C931" t="s">
        <v>924</v>
      </c>
      <c r="D931" t="s">
        <v>749</v>
      </c>
      <c r="E931" t="s">
        <v>13</v>
      </c>
      <c r="F931" t="s">
        <v>32</v>
      </c>
      <c r="G931" t="s">
        <v>54</v>
      </c>
      <c r="H931" t="s">
        <v>16</v>
      </c>
      <c r="I931" t="s">
        <v>43</v>
      </c>
      <c r="J931">
        <v>7</v>
      </c>
      <c r="K931">
        <v>4664.1099999999997</v>
      </c>
      <c r="L931">
        <v>540.97</v>
      </c>
    </row>
    <row r="932" spans="1:12" x14ac:dyDescent="0.25">
      <c r="A932">
        <v>10931</v>
      </c>
      <c r="B932" t="s">
        <v>988</v>
      </c>
      <c r="C932" t="s">
        <v>411</v>
      </c>
      <c r="D932" t="s">
        <v>906</v>
      </c>
      <c r="E932" t="s">
        <v>26</v>
      </c>
      <c r="F932" t="s">
        <v>46</v>
      </c>
      <c r="G932" t="s">
        <v>47</v>
      </c>
      <c r="H932" t="s">
        <v>16</v>
      </c>
      <c r="I932" t="s">
        <v>81</v>
      </c>
      <c r="J932">
        <v>4</v>
      </c>
      <c r="K932">
        <v>2022.23</v>
      </c>
      <c r="L932">
        <v>419.34</v>
      </c>
    </row>
    <row r="933" spans="1:12" x14ac:dyDescent="0.25">
      <c r="A933">
        <v>10932</v>
      </c>
      <c r="B933" t="s">
        <v>988</v>
      </c>
      <c r="C933" t="s">
        <v>962</v>
      </c>
      <c r="D933" t="s">
        <v>702</v>
      </c>
      <c r="E933" t="s">
        <v>26</v>
      </c>
      <c r="F933" t="s">
        <v>20</v>
      </c>
      <c r="G933" t="s">
        <v>76</v>
      </c>
      <c r="H933" t="s">
        <v>27</v>
      </c>
      <c r="I933" t="s">
        <v>77</v>
      </c>
      <c r="J933">
        <v>7</v>
      </c>
      <c r="K933">
        <v>907.64</v>
      </c>
      <c r="L933">
        <v>163</v>
      </c>
    </row>
    <row r="934" spans="1:12" x14ac:dyDescent="0.25">
      <c r="A934">
        <v>10933</v>
      </c>
      <c r="B934" t="s">
        <v>988</v>
      </c>
      <c r="C934" t="s">
        <v>260</v>
      </c>
      <c r="D934" t="s">
        <v>166</v>
      </c>
      <c r="E934" t="s">
        <v>26</v>
      </c>
      <c r="F934" t="s">
        <v>14</v>
      </c>
      <c r="G934" t="s">
        <v>15</v>
      </c>
      <c r="H934" t="s">
        <v>27</v>
      </c>
      <c r="I934" t="s">
        <v>28</v>
      </c>
      <c r="J934">
        <v>1</v>
      </c>
      <c r="K934">
        <v>1273.7</v>
      </c>
      <c r="L934">
        <v>104.87</v>
      </c>
    </row>
    <row r="935" spans="1:12" x14ac:dyDescent="0.25">
      <c r="A935">
        <v>10934</v>
      </c>
      <c r="B935" t="s">
        <v>988</v>
      </c>
      <c r="C935" t="s">
        <v>29</v>
      </c>
      <c r="D935" t="s">
        <v>532</v>
      </c>
      <c r="E935" t="s">
        <v>31</v>
      </c>
      <c r="F935" t="s">
        <v>32</v>
      </c>
      <c r="G935" t="s">
        <v>33</v>
      </c>
      <c r="H935" t="s">
        <v>16</v>
      </c>
      <c r="I935" t="s">
        <v>43</v>
      </c>
      <c r="J935">
        <v>1</v>
      </c>
      <c r="K935">
        <v>1277.6400000000001</v>
      </c>
      <c r="L935">
        <v>34.03</v>
      </c>
    </row>
    <row r="936" spans="1:12" x14ac:dyDescent="0.25">
      <c r="A936">
        <v>10935</v>
      </c>
      <c r="B936" t="s">
        <v>988</v>
      </c>
      <c r="C936" t="s">
        <v>477</v>
      </c>
      <c r="D936" t="s">
        <v>58</v>
      </c>
      <c r="E936" t="s">
        <v>26</v>
      </c>
      <c r="F936" t="s">
        <v>14</v>
      </c>
      <c r="G936" t="s">
        <v>15</v>
      </c>
      <c r="H936" t="s">
        <v>27</v>
      </c>
      <c r="I936" t="s">
        <v>118</v>
      </c>
      <c r="J936">
        <v>5</v>
      </c>
      <c r="K936">
        <v>141.55000000000001</v>
      </c>
      <c r="L936">
        <v>-8.5399999999999991</v>
      </c>
    </row>
    <row r="937" spans="1:12" x14ac:dyDescent="0.25">
      <c r="A937">
        <v>10936</v>
      </c>
      <c r="B937" t="s">
        <v>988</v>
      </c>
      <c r="C937" t="s">
        <v>328</v>
      </c>
      <c r="D937" t="s">
        <v>651</v>
      </c>
      <c r="E937" t="s">
        <v>13</v>
      </c>
      <c r="F937" t="s">
        <v>32</v>
      </c>
      <c r="G937" t="s">
        <v>54</v>
      </c>
      <c r="H937" t="s">
        <v>16</v>
      </c>
      <c r="I937" t="s">
        <v>17</v>
      </c>
      <c r="J937">
        <v>3</v>
      </c>
      <c r="K937">
        <v>3543.02</v>
      </c>
      <c r="L937">
        <v>222.68</v>
      </c>
    </row>
    <row r="938" spans="1:12" x14ac:dyDescent="0.25">
      <c r="A938">
        <v>10937</v>
      </c>
      <c r="B938" t="s">
        <v>988</v>
      </c>
      <c r="C938" t="s">
        <v>469</v>
      </c>
      <c r="D938" t="s">
        <v>963</v>
      </c>
      <c r="E938" t="s">
        <v>31</v>
      </c>
      <c r="F938" t="s">
        <v>46</v>
      </c>
      <c r="G938" t="s">
        <v>71</v>
      </c>
      <c r="H938" t="s">
        <v>16</v>
      </c>
      <c r="I938" t="s">
        <v>51</v>
      </c>
      <c r="J938">
        <v>8</v>
      </c>
      <c r="K938">
        <v>2973.16</v>
      </c>
      <c r="L938">
        <v>752.95</v>
      </c>
    </row>
    <row r="939" spans="1:12" x14ac:dyDescent="0.25">
      <c r="A939">
        <v>10938</v>
      </c>
      <c r="B939" t="s">
        <v>988</v>
      </c>
      <c r="C939" t="s">
        <v>919</v>
      </c>
      <c r="D939" t="s">
        <v>943</v>
      </c>
      <c r="E939" t="s">
        <v>13</v>
      </c>
      <c r="F939" t="s">
        <v>14</v>
      </c>
      <c r="G939" t="s">
        <v>15</v>
      </c>
      <c r="H939" t="s">
        <v>16</v>
      </c>
      <c r="I939" t="s">
        <v>43</v>
      </c>
      <c r="J939">
        <v>4</v>
      </c>
      <c r="K939">
        <v>4056.63</v>
      </c>
      <c r="L939">
        <v>789.43</v>
      </c>
    </row>
    <row r="940" spans="1:12" x14ac:dyDescent="0.25">
      <c r="A940">
        <v>10939</v>
      </c>
      <c r="B940" t="s">
        <v>988</v>
      </c>
      <c r="C940" t="s">
        <v>415</v>
      </c>
      <c r="D940" t="s">
        <v>544</v>
      </c>
      <c r="E940" t="s">
        <v>13</v>
      </c>
      <c r="F940" t="s">
        <v>32</v>
      </c>
      <c r="G940" t="s">
        <v>54</v>
      </c>
      <c r="H940" t="s">
        <v>22</v>
      </c>
      <c r="I940" t="s">
        <v>38</v>
      </c>
      <c r="J940">
        <v>5</v>
      </c>
      <c r="K940">
        <v>1865.55</v>
      </c>
      <c r="L940">
        <v>449.39</v>
      </c>
    </row>
    <row r="941" spans="1:12" x14ac:dyDescent="0.25">
      <c r="A941">
        <v>10940</v>
      </c>
      <c r="B941" t="s">
        <v>988</v>
      </c>
      <c r="C941" t="s">
        <v>701</v>
      </c>
      <c r="D941" t="s">
        <v>564</v>
      </c>
      <c r="E941" t="s">
        <v>31</v>
      </c>
      <c r="F941" t="s">
        <v>20</v>
      </c>
      <c r="G941" t="s">
        <v>21</v>
      </c>
      <c r="H941" t="s">
        <v>22</v>
      </c>
      <c r="I941" t="s">
        <v>23</v>
      </c>
      <c r="J941">
        <v>3</v>
      </c>
      <c r="K941">
        <v>2877.81</v>
      </c>
      <c r="L941">
        <v>849.58</v>
      </c>
    </row>
    <row r="942" spans="1:12" x14ac:dyDescent="0.25">
      <c r="A942">
        <v>10941</v>
      </c>
      <c r="B942" t="s">
        <v>988</v>
      </c>
      <c r="C942" t="s">
        <v>250</v>
      </c>
      <c r="D942" t="s">
        <v>828</v>
      </c>
      <c r="E942" t="s">
        <v>31</v>
      </c>
      <c r="F942" t="s">
        <v>14</v>
      </c>
      <c r="G942" t="s">
        <v>37</v>
      </c>
      <c r="H942" t="s">
        <v>22</v>
      </c>
      <c r="I942" t="s">
        <v>34</v>
      </c>
      <c r="J942">
        <v>6</v>
      </c>
      <c r="K942">
        <v>931.62</v>
      </c>
      <c r="L942">
        <v>108.61</v>
      </c>
    </row>
    <row r="943" spans="1:12" x14ac:dyDescent="0.25">
      <c r="A943">
        <v>10942</v>
      </c>
      <c r="B943" t="s">
        <v>988</v>
      </c>
      <c r="C943" t="s">
        <v>191</v>
      </c>
      <c r="D943" t="s">
        <v>739</v>
      </c>
      <c r="E943" t="s">
        <v>26</v>
      </c>
      <c r="F943" t="s">
        <v>14</v>
      </c>
      <c r="G943" t="s">
        <v>15</v>
      </c>
      <c r="H943" t="s">
        <v>22</v>
      </c>
      <c r="I943" t="s">
        <v>34</v>
      </c>
      <c r="J943">
        <v>5</v>
      </c>
      <c r="K943">
        <v>4932.1000000000004</v>
      </c>
      <c r="L943">
        <v>1376.79</v>
      </c>
    </row>
    <row r="944" spans="1:12" x14ac:dyDescent="0.25">
      <c r="A944">
        <v>10943</v>
      </c>
      <c r="B944" t="s">
        <v>988</v>
      </c>
      <c r="C944" t="s">
        <v>98</v>
      </c>
      <c r="D944" t="s">
        <v>964</v>
      </c>
      <c r="E944" t="s">
        <v>31</v>
      </c>
      <c r="F944" t="s">
        <v>14</v>
      </c>
      <c r="G944" t="s">
        <v>37</v>
      </c>
      <c r="H944" t="s">
        <v>22</v>
      </c>
      <c r="I944" t="s">
        <v>38</v>
      </c>
      <c r="J944">
        <v>5</v>
      </c>
      <c r="K944">
        <v>2064.6</v>
      </c>
      <c r="L944">
        <v>453.86</v>
      </c>
    </row>
    <row r="945" spans="1:12" x14ac:dyDescent="0.25">
      <c r="A945">
        <v>10944</v>
      </c>
      <c r="B945" t="s">
        <v>988</v>
      </c>
      <c r="C945" t="s">
        <v>348</v>
      </c>
      <c r="D945" t="s">
        <v>965</v>
      </c>
      <c r="E945" t="s">
        <v>26</v>
      </c>
      <c r="F945" t="s">
        <v>32</v>
      </c>
      <c r="G945" t="s">
        <v>54</v>
      </c>
      <c r="H945" t="s">
        <v>22</v>
      </c>
      <c r="I945" t="s">
        <v>34</v>
      </c>
      <c r="J945">
        <v>8</v>
      </c>
      <c r="K945">
        <v>1387.85</v>
      </c>
      <c r="L945">
        <v>304.92</v>
      </c>
    </row>
    <row r="946" spans="1:12" x14ac:dyDescent="0.25">
      <c r="A946">
        <v>10945</v>
      </c>
      <c r="B946" t="s">
        <v>988</v>
      </c>
      <c r="C946" t="s">
        <v>880</v>
      </c>
      <c r="D946" t="s">
        <v>444</v>
      </c>
      <c r="E946" t="s">
        <v>31</v>
      </c>
      <c r="F946" t="s">
        <v>46</v>
      </c>
      <c r="G946" t="s">
        <v>71</v>
      </c>
      <c r="H946" t="s">
        <v>22</v>
      </c>
      <c r="I946" t="s">
        <v>23</v>
      </c>
      <c r="J946">
        <v>5</v>
      </c>
      <c r="K946">
        <v>1941.53</v>
      </c>
      <c r="L946">
        <v>288.43</v>
      </c>
    </row>
    <row r="947" spans="1:12" x14ac:dyDescent="0.25">
      <c r="A947">
        <v>10946</v>
      </c>
      <c r="B947" t="s">
        <v>988</v>
      </c>
      <c r="C947" t="s">
        <v>477</v>
      </c>
      <c r="D947" t="s">
        <v>966</v>
      </c>
      <c r="E947" t="s">
        <v>31</v>
      </c>
      <c r="F947" t="s">
        <v>14</v>
      </c>
      <c r="G947" t="s">
        <v>37</v>
      </c>
      <c r="H947" t="s">
        <v>27</v>
      </c>
      <c r="I947" t="s">
        <v>77</v>
      </c>
      <c r="J947">
        <v>8</v>
      </c>
      <c r="K947">
        <v>634.67999999999995</v>
      </c>
      <c r="L947">
        <v>49.5</v>
      </c>
    </row>
    <row r="948" spans="1:12" x14ac:dyDescent="0.25">
      <c r="A948">
        <v>10947</v>
      </c>
      <c r="B948" t="s">
        <v>988</v>
      </c>
      <c r="C948" t="s">
        <v>124</v>
      </c>
      <c r="D948" t="s">
        <v>967</v>
      </c>
      <c r="E948" t="s">
        <v>31</v>
      </c>
      <c r="F948" t="s">
        <v>46</v>
      </c>
      <c r="G948" t="s">
        <v>47</v>
      </c>
      <c r="H948" t="s">
        <v>27</v>
      </c>
      <c r="I948" t="s">
        <v>118</v>
      </c>
      <c r="J948">
        <v>6</v>
      </c>
      <c r="K948">
        <v>1777.88</v>
      </c>
      <c r="L948">
        <v>336.25</v>
      </c>
    </row>
    <row r="949" spans="1:12" x14ac:dyDescent="0.25">
      <c r="A949">
        <v>10948</v>
      </c>
      <c r="B949" t="s">
        <v>988</v>
      </c>
      <c r="C949" t="s">
        <v>555</v>
      </c>
      <c r="D949" t="s">
        <v>544</v>
      </c>
      <c r="E949" t="s">
        <v>31</v>
      </c>
      <c r="F949" t="s">
        <v>20</v>
      </c>
      <c r="G949" t="s">
        <v>21</v>
      </c>
      <c r="H949" t="s">
        <v>16</v>
      </c>
      <c r="I949" t="s">
        <v>43</v>
      </c>
      <c r="J949">
        <v>8</v>
      </c>
      <c r="K949">
        <v>813.02</v>
      </c>
      <c r="L949">
        <v>27.22</v>
      </c>
    </row>
    <row r="950" spans="1:12" x14ac:dyDescent="0.25">
      <c r="A950">
        <v>10949</v>
      </c>
      <c r="B950" t="s">
        <v>988</v>
      </c>
      <c r="C950" t="s">
        <v>279</v>
      </c>
      <c r="D950" t="s">
        <v>634</v>
      </c>
      <c r="E950" t="s">
        <v>31</v>
      </c>
      <c r="F950" t="s">
        <v>14</v>
      </c>
      <c r="G950" t="s">
        <v>37</v>
      </c>
      <c r="H950" t="s">
        <v>27</v>
      </c>
      <c r="I950" t="s">
        <v>77</v>
      </c>
      <c r="J950">
        <v>4</v>
      </c>
      <c r="K950">
        <v>364.98</v>
      </c>
      <c r="L950">
        <v>2.19</v>
      </c>
    </row>
    <row r="951" spans="1:12" x14ac:dyDescent="0.25">
      <c r="A951">
        <v>10950</v>
      </c>
      <c r="B951" t="s">
        <v>988</v>
      </c>
      <c r="C951" t="s">
        <v>597</v>
      </c>
      <c r="D951" t="s">
        <v>730</v>
      </c>
      <c r="E951" t="s">
        <v>31</v>
      </c>
      <c r="F951" t="s">
        <v>32</v>
      </c>
      <c r="G951" t="s">
        <v>33</v>
      </c>
      <c r="H951" t="s">
        <v>22</v>
      </c>
      <c r="I951" t="s">
        <v>48</v>
      </c>
      <c r="J951">
        <v>2</v>
      </c>
      <c r="K951">
        <v>1442.14</v>
      </c>
      <c r="L951">
        <v>14.19</v>
      </c>
    </row>
    <row r="952" spans="1:12" x14ac:dyDescent="0.25">
      <c r="A952">
        <v>10951</v>
      </c>
      <c r="B952" t="s">
        <v>988</v>
      </c>
      <c r="C952" t="s">
        <v>968</v>
      </c>
      <c r="D952" t="s">
        <v>969</v>
      </c>
      <c r="E952" t="s">
        <v>26</v>
      </c>
      <c r="F952" t="s">
        <v>46</v>
      </c>
      <c r="G952" t="s">
        <v>47</v>
      </c>
      <c r="H952" t="s">
        <v>22</v>
      </c>
      <c r="I952" t="s">
        <v>23</v>
      </c>
      <c r="J952">
        <v>2</v>
      </c>
      <c r="K952">
        <v>4485.29</v>
      </c>
      <c r="L952">
        <v>608.45000000000005</v>
      </c>
    </row>
    <row r="953" spans="1:12" x14ac:dyDescent="0.25">
      <c r="A953">
        <v>10952</v>
      </c>
      <c r="B953" t="s">
        <v>988</v>
      </c>
      <c r="C953" t="s">
        <v>298</v>
      </c>
      <c r="D953" t="s">
        <v>970</v>
      </c>
      <c r="E953" t="s">
        <v>26</v>
      </c>
      <c r="F953" t="s">
        <v>32</v>
      </c>
      <c r="G953" t="s">
        <v>54</v>
      </c>
      <c r="H953" t="s">
        <v>27</v>
      </c>
      <c r="I953" t="s">
        <v>77</v>
      </c>
      <c r="J953">
        <v>3</v>
      </c>
      <c r="K953">
        <v>4831.3900000000003</v>
      </c>
      <c r="L953">
        <v>677.88</v>
      </c>
    </row>
    <row r="954" spans="1:12" x14ac:dyDescent="0.25">
      <c r="A954">
        <v>10953</v>
      </c>
      <c r="B954" t="s">
        <v>988</v>
      </c>
      <c r="C954" t="s">
        <v>743</v>
      </c>
      <c r="D954" t="s">
        <v>971</v>
      </c>
      <c r="E954" t="s">
        <v>26</v>
      </c>
      <c r="F954" t="s">
        <v>46</v>
      </c>
      <c r="G954" t="s">
        <v>71</v>
      </c>
      <c r="H954" t="s">
        <v>16</v>
      </c>
      <c r="I954" t="s">
        <v>43</v>
      </c>
      <c r="J954">
        <v>6</v>
      </c>
      <c r="K954">
        <v>3353.91</v>
      </c>
      <c r="L954">
        <v>784.75</v>
      </c>
    </row>
    <row r="955" spans="1:12" x14ac:dyDescent="0.25">
      <c r="A955">
        <v>10954</v>
      </c>
      <c r="B955" t="s">
        <v>988</v>
      </c>
      <c r="C955" t="s">
        <v>82</v>
      </c>
      <c r="D955" t="s">
        <v>177</v>
      </c>
      <c r="E955" t="s">
        <v>26</v>
      </c>
      <c r="F955" t="s">
        <v>20</v>
      </c>
      <c r="G955" t="s">
        <v>21</v>
      </c>
      <c r="H955" t="s">
        <v>27</v>
      </c>
      <c r="I955" t="s">
        <v>28</v>
      </c>
      <c r="J955">
        <v>2</v>
      </c>
      <c r="K955">
        <v>3980.88</v>
      </c>
      <c r="L955">
        <v>843.49</v>
      </c>
    </row>
    <row r="956" spans="1:12" x14ac:dyDescent="0.25">
      <c r="A956">
        <v>10955</v>
      </c>
      <c r="B956" t="s">
        <v>988</v>
      </c>
      <c r="C956" t="s">
        <v>924</v>
      </c>
      <c r="D956" t="s">
        <v>727</v>
      </c>
      <c r="E956" t="s">
        <v>31</v>
      </c>
      <c r="F956" t="s">
        <v>20</v>
      </c>
      <c r="G956" t="s">
        <v>21</v>
      </c>
      <c r="H956" t="s">
        <v>22</v>
      </c>
      <c r="I956" t="s">
        <v>48</v>
      </c>
      <c r="J956">
        <v>4</v>
      </c>
      <c r="K956">
        <v>2158.86</v>
      </c>
      <c r="L956">
        <v>386.06</v>
      </c>
    </row>
    <row r="957" spans="1:12" x14ac:dyDescent="0.25">
      <c r="A957">
        <v>10956</v>
      </c>
      <c r="B957" t="s">
        <v>988</v>
      </c>
      <c r="C957" t="s">
        <v>328</v>
      </c>
      <c r="D957" t="s">
        <v>533</v>
      </c>
      <c r="E957" t="s">
        <v>26</v>
      </c>
      <c r="F957" t="s">
        <v>46</v>
      </c>
      <c r="G957" t="s">
        <v>71</v>
      </c>
      <c r="H957" t="s">
        <v>16</v>
      </c>
      <c r="I957" t="s">
        <v>81</v>
      </c>
      <c r="J957">
        <v>6</v>
      </c>
      <c r="K957">
        <v>4087.52</v>
      </c>
      <c r="L957">
        <v>131.26</v>
      </c>
    </row>
    <row r="958" spans="1:12" x14ac:dyDescent="0.25">
      <c r="A958">
        <v>10957</v>
      </c>
      <c r="B958" t="s">
        <v>988</v>
      </c>
      <c r="C958" t="s">
        <v>132</v>
      </c>
      <c r="D958" t="s">
        <v>583</v>
      </c>
      <c r="E958" t="s">
        <v>26</v>
      </c>
      <c r="F958" t="s">
        <v>20</v>
      </c>
      <c r="G958" t="s">
        <v>76</v>
      </c>
      <c r="H958" t="s">
        <v>27</v>
      </c>
      <c r="I958" t="s">
        <v>77</v>
      </c>
      <c r="J958">
        <v>6</v>
      </c>
      <c r="K958">
        <v>1825.83</v>
      </c>
      <c r="L958">
        <v>286.58999999999997</v>
      </c>
    </row>
    <row r="959" spans="1:12" x14ac:dyDescent="0.25">
      <c r="A959">
        <v>10958</v>
      </c>
      <c r="B959" t="s">
        <v>988</v>
      </c>
      <c r="C959" t="s">
        <v>463</v>
      </c>
      <c r="D959" t="s">
        <v>561</v>
      </c>
      <c r="E959" t="s">
        <v>31</v>
      </c>
      <c r="F959" t="s">
        <v>20</v>
      </c>
      <c r="G959" t="s">
        <v>76</v>
      </c>
      <c r="H959" t="s">
        <v>27</v>
      </c>
      <c r="I959" t="s">
        <v>104</v>
      </c>
      <c r="J959">
        <v>3</v>
      </c>
      <c r="K959">
        <v>2759.54</v>
      </c>
      <c r="L959">
        <v>316.7</v>
      </c>
    </row>
    <row r="960" spans="1:12" x14ac:dyDescent="0.25">
      <c r="A960">
        <v>10959</v>
      </c>
      <c r="B960" t="s">
        <v>988</v>
      </c>
      <c r="C960" t="s">
        <v>722</v>
      </c>
      <c r="D960" t="s">
        <v>663</v>
      </c>
      <c r="E960" t="s">
        <v>13</v>
      </c>
      <c r="F960" t="s">
        <v>32</v>
      </c>
      <c r="G960" t="s">
        <v>33</v>
      </c>
      <c r="H960" t="s">
        <v>22</v>
      </c>
      <c r="I960" t="s">
        <v>23</v>
      </c>
      <c r="J960">
        <v>2</v>
      </c>
      <c r="K960">
        <v>3283.16</v>
      </c>
      <c r="L960">
        <v>628.85</v>
      </c>
    </row>
    <row r="961" spans="1:12" x14ac:dyDescent="0.25">
      <c r="A961">
        <v>10960</v>
      </c>
      <c r="B961" t="s">
        <v>988</v>
      </c>
      <c r="C961" t="s">
        <v>324</v>
      </c>
      <c r="D961" t="s">
        <v>846</v>
      </c>
      <c r="E961" t="s">
        <v>26</v>
      </c>
      <c r="F961" t="s">
        <v>14</v>
      </c>
      <c r="G961" t="s">
        <v>37</v>
      </c>
      <c r="H961" t="s">
        <v>16</v>
      </c>
      <c r="I961" t="s">
        <v>81</v>
      </c>
      <c r="J961">
        <v>5</v>
      </c>
      <c r="K961">
        <v>4273.3599999999997</v>
      </c>
      <c r="L961">
        <v>362.33</v>
      </c>
    </row>
    <row r="962" spans="1:12" x14ac:dyDescent="0.25">
      <c r="A962">
        <v>10961</v>
      </c>
      <c r="B962" t="s">
        <v>988</v>
      </c>
      <c r="C962" t="s">
        <v>677</v>
      </c>
      <c r="D962" t="s">
        <v>972</v>
      </c>
      <c r="E962" t="s">
        <v>31</v>
      </c>
      <c r="F962" t="s">
        <v>46</v>
      </c>
      <c r="G962" t="s">
        <v>47</v>
      </c>
      <c r="H962" t="s">
        <v>22</v>
      </c>
      <c r="I962" t="s">
        <v>38</v>
      </c>
      <c r="J962">
        <v>8</v>
      </c>
      <c r="K962">
        <v>2123.38</v>
      </c>
      <c r="L962">
        <v>471.3</v>
      </c>
    </row>
    <row r="963" spans="1:12" x14ac:dyDescent="0.25">
      <c r="A963">
        <v>10962</v>
      </c>
      <c r="B963" t="s">
        <v>988</v>
      </c>
      <c r="C963" t="s">
        <v>159</v>
      </c>
      <c r="D963" t="s">
        <v>568</v>
      </c>
      <c r="E963" t="s">
        <v>31</v>
      </c>
      <c r="F963" t="s">
        <v>46</v>
      </c>
      <c r="G963" t="s">
        <v>47</v>
      </c>
      <c r="H963" t="s">
        <v>27</v>
      </c>
      <c r="I963" t="s">
        <v>28</v>
      </c>
      <c r="J963">
        <v>5</v>
      </c>
      <c r="K963">
        <v>4208.57</v>
      </c>
      <c r="L963">
        <v>1005.56</v>
      </c>
    </row>
    <row r="964" spans="1:12" x14ac:dyDescent="0.25">
      <c r="A964">
        <v>10963</v>
      </c>
      <c r="B964" t="s">
        <v>988</v>
      </c>
      <c r="C964" t="s">
        <v>743</v>
      </c>
      <c r="D964" t="s">
        <v>973</v>
      </c>
      <c r="E964" t="s">
        <v>26</v>
      </c>
      <c r="F964" t="s">
        <v>14</v>
      </c>
      <c r="G964" t="s">
        <v>15</v>
      </c>
      <c r="H964" t="s">
        <v>22</v>
      </c>
      <c r="I964" t="s">
        <v>48</v>
      </c>
      <c r="J964">
        <v>6</v>
      </c>
      <c r="K964">
        <v>4219.7700000000004</v>
      </c>
      <c r="L964">
        <v>684.34</v>
      </c>
    </row>
    <row r="965" spans="1:12" x14ac:dyDescent="0.25">
      <c r="A965">
        <v>10964</v>
      </c>
      <c r="B965" t="s">
        <v>988</v>
      </c>
      <c r="C965" t="s">
        <v>250</v>
      </c>
      <c r="D965" t="s">
        <v>263</v>
      </c>
      <c r="E965" t="s">
        <v>26</v>
      </c>
      <c r="F965" t="s">
        <v>20</v>
      </c>
      <c r="G965" t="s">
        <v>21</v>
      </c>
      <c r="H965" t="s">
        <v>16</v>
      </c>
      <c r="I965" t="s">
        <v>51</v>
      </c>
      <c r="J965">
        <v>4</v>
      </c>
      <c r="K965">
        <v>3119.71</v>
      </c>
      <c r="L965">
        <v>457.59</v>
      </c>
    </row>
    <row r="966" spans="1:12" x14ac:dyDescent="0.25">
      <c r="A966">
        <v>10965</v>
      </c>
      <c r="B966" t="s">
        <v>988</v>
      </c>
      <c r="C966" t="s">
        <v>243</v>
      </c>
      <c r="D966" t="s">
        <v>610</v>
      </c>
      <c r="E966" t="s">
        <v>13</v>
      </c>
      <c r="F966" t="s">
        <v>20</v>
      </c>
      <c r="G966" t="s">
        <v>21</v>
      </c>
      <c r="H966" t="s">
        <v>27</v>
      </c>
      <c r="I966" t="s">
        <v>28</v>
      </c>
      <c r="J966">
        <v>3</v>
      </c>
      <c r="K966">
        <v>2243.27</v>
      </c>
      <c r="L966">
        <v>87.89</v>
      </c>
    </row>
    <row r="967" spans="1:12" x14ac:dyDescent="0.25">
      <c r="A967">
        <v>10966</v>
      </c>
      <c r="B967" t="s">
        <v>988</v>
      </c>
      <c r="C967" t="s">
        <v>862</v>
      </c>
      <c r="D967" t="s">
        <v>371</v>
      </c>
      <c r="E967" t="s">
        <v>13</v>
      </c>
      <c r="F967" t="s">
        <v>20</v>
      </c>
      <c r="G967" t="s">
        <v>76</v>
      </c>
      <c r="H967" t="s">
        <v>16</v>
      </c>
      <c r="I967" t="s">
        <v>43</v>
      </c>
      <c r="J967">
        <v>6</v>
      </c>
      <c r="K967">
        <v>1098.44</v>
      </c>
      <c r="L967">
        <v>36.79</v>
      </c>
    </row>
    <row r="968" spans="1:12" x14ac:dyDescent="0.25">
      <c r="A968">
        <v>10967</v>
      </c>
      <c r="B968" t="s">
        <v>988</v>
      </c>
      <c r="C968" t="s">
        <v>209</v>
      </c>
      <c r="D968" t="s">
        <v>861</v>
      </c>
      <c r="E968" t="s">
        <v>31</v>
      </c>
      <c r="F968" t="s">
        <v>46</v>
      </c>
      <c r="G968" t="s">
        <v>71</v>
      </c>
      <c r="H968" t="s">
        <v>16</v>
      </c>
      <c r="I968" t="s">
        <v>81</v>
      </c>
      <c r="J968">
        <v>7</v>
      </c>
      <c r="K968">
        <v>223.92</v>
      </c>
      <c r="L968">
        <v>-46.05</v>
      </c>
    </row>
    <row r="969" spans="1:12" x14ac:dyDescent="0.25">
      <c r="A969">
        <v>10968</v>
      </c>
      <c r="B969" t="s">
        <v>988</v>
      </c>
      <c r="C969" t="s">
        <v>924</v>
      </c>
      <c r="D969" t="s">
        <v>371</v>
      </c>
      <c r="E969" t="s">
        <v>31</v>
      </c>
      <c r="F969" t="s">
        <v>46</v>
      </c>
      <c r="G969" t="s">
        <v>71</v>
      </c>
      <c r="H969" t="s">
        <v>16</v>
      </c>
      <c r="I969" t="s">
        <v>43</v>
      </c>
      <c r="J969">
        <v>5</v>
      </c>
      <c r="K969">
        <v>1049.76</v>
      </c>
      <c r="L969">
        <v>200.43</v>
      </c>
    </row>
    <row r="970" spans="1:12" x14ac:dyDescent="0.25">
      <c r="A970">
        <v>10969</v>
      </c>
      <c r="B970" t="s">
        <v>988</v>
      </c>
      <c r="C970" t="s">
        <v>644</v>
      </c>
      <c r="D970" t="s">
        <v>930</v>
      </c>
      <c r="E970" t="s">
        <v>26</v>
      </c>
      <c r="F970" t="s">
        <v>14</v>
      </c>
      <c r="G970" t="s">
        <v>37</v>
      </c>
      <c r="H970" t="s">
        <v>22</v>
      </c>
      <c r="I970" t="s">
        <v>48</v>
      </c>
      <c r="J970">
        <v>1</v>
      </c>
      <c r="K970">
        <v>3228.09</v>
      </c>
      <c r="L970">
        <v>618.61</v>
      </c>
    </row>
    <row r="971" spans="1:12" x14ac:dyDescent="0.25">
      <c r="A971">
        <v>10970</v>
      </c>
      <c r="B971" t="s">
        <v>988</v>
      </c>
      <c r="C971" t="s">
        <v>409</v>
      </c>
      <c r="D971" t="s">
        <v>974</v>
      </c>
      <c r="E971" t="s">
        <v>26</v>
      </c>
      <c r="F971" t="s">
        <v>14</v>
      </c>
      <c r="G971" t="s">
        <v>15</v>
      </c>
      <c r="H971" t="s">
        <v>27</v>
      </c>
      <c r="I971" t="s">
        <v>28</v>
      </c>
      <c r="J971">
        <v>3</v>
      </c>
      <c r="K971">
        <v>554.61</v>
      </c>
      <c r="L971">
        <v>60.12</v>
      </c>
    </row>
    <row r="972" spans="1:12" x14ac:dyDescent="0.25">
      <c r="A972">
        <v>10971</v>
      </c>
      <c r="B972" t="s">
        <v>988</v>
      </c>
      <c r="C972" t="s">
        <v>351</v>
      </c>
      <c r="D972" t="s">
        <v>352</v>
      </c>
      <c r="E972" t="s">
        <v>13</v>
      </c>
      <c r="F972" t="s">
        <v>20</v>
      </c>
      <c r="G972" t="s">
        <v>21</v>
      </c>
      <c r="H972" t="s">
        <v>27</v>
      </c>
      <c r="I972" t="s">
        <v>118</v>
      </c>
      <c r="J972">
        <v>8</v>
      </c>
      <c r="K972">
        <v>4800.16</v>
      </c>
      <c r="L972">
        <v>262.85000000000002</v>
      </c>
    </row>
    <row r="973" spans="1:12" x14ac:dyDescent="0.25">
      <c r="A973">
        <v>10972</v>
      </c>
      <c r="B973" t="s">
        <v>988</v>
      </c>
      <c r="C973" t="s">
        <v>383</v>
      </c>
      <c r="D973" t="s">
        <v>196</v>
      </c>
      <c r="E973" t="s">
        <v>31</v>
      </c>
      <c r="F973" t="s">
        <v>20</v>
      </c>
      <c r="G973" t="s">
        <v>21</v>
      </c>
      <c r="H973" t="s">
        <v>22</v>
      </c>
      <c r="I973" t="s">
        <v>38</v>
      </c>
      <c r="J973">
        <v>1</v>
      </c>
      <c r="K973">
        <v>4527.83</v>
      </c>
      <c r="L973">
        <v>909.98</v>
      </c>
    </row>
    <row r="974" spans="1:12" x14ac:dyDescent="0.25">
      <c r="A974">
        <v>10973</v>
      </c>
      <c r="B974" t="s">
        <v>988</v>
      </c>
      <c r="C974" t="s">
        <v>372</v>
      </c>
      <c r="D974" t="s">
        <v>923</v>
      </c>
      <c r="E974" t="s">
        <v>13</v>
      </c>
      <c r="F974" t="s">
        <v>32</v>
      </c>
      <c r="G974" t="s">
        <v>54</v>
      </c>
      <c r="H974" t="s">
        <v>16</v>
      </c>
      <c r="I974" t="s">
        <v>81</v>
      </c>
      <c r="J974">
        <v>3</v>
      </c>
      <c r="K974">
        <v>2656.57</v>
      </c>
      <c r="L974">
        <v>289.69</v>
      </c>
    </row>
    <row r="975" spans="1:12" x14ac:dyDescent="0.25">
      <c r="A975">
        <v>10974</v>
      </c>
      <c r="B975" t="s">
        <v>988</v>
      </c>
      <c r="C975" t="s">
        <v>479</v>
      </c>
      <c r="D975" t="s">
        <v>856</v>
      </c>
      <c r="E975" t="s">
        <v>13</v>
      </c>
      <c r="F975" t="s">
        <v>14</v>
      </c>
      <c r="G975" t="s">
        <v>15</v>
      </c>
      <c r="H975" t="s">
        <v>22</v>
      </c>
      <c r="I975" t="s">
        <v>38</v>
      </c>
      <c r="J975">
        <v>2</v>
      </c>
      <c r="K975">
        <v>4503</v>
      </c>
      <c r="L975">
        <v>244.5</v>
      </c>
    </row>
    <row r="976" spans="1:12" x14ac:dyDescent="0.25">
      <c r="A976">
        <v>10975</v>
      </c>
      <c r="B976" t="s">
        <v>988</v>
      </c>
      <c r="C976" t="s">
        <v>308</v>
      </c>
      <c r="D976" t="s">
        <v>667</v>
      </c>
      <c r="E976" t="s">
        <v>13</v>
      </c>
      <c r="F976" t="s">
        <v>46</v>
      </c>
      <c r="G976" t="s">
        <v>47</v>
      </c>
      <c r="H976" t="s">
        <v>27</v>
      </c>
      <c r="I976" t="s">
        <v>77</v>
      </c>
      <c r="J976">
        <v>4</v>
      </c>
      <c r="K976">
        <v>4770.82</v>
      </c>
      <c r="L976">
        <v>599.11</v>
      </c>
    </row>
    <row r="977" spans="1:12" x14ac:dyDescent="0.25">
      <c r="A977">
        <v>10976</v>
      </c>
      <c r="B977" t="s">
        <v>988</v>
      </c>
      <c r="C977" t="s">
        <v>878</v>
      </c>
      <c r="D977" t="s">
        <v>381</v>
      </c>
      <c r="E977" t="s">
        <v>26</v>
      </c>
      <c r="F977" t="s">
        <v>20</v>
      </c>
      <c r="G977" t="s">
        <v>76</v>
      </c>
      <c r="H977" t="s">
        <v>16</v>
      </c>
      <c r="I977" t="s">
        <v>51</v>
      </c>
      <c r="J977">
        <v>4</v>
      </c>
      <c r="K977">
        <v>1325.46</v>
      </c>
      <c r="L977">
        <v>47.24</v>
      </c>
    </row>
    <row r="978" spans="1:12" x14ac:dyDescent="0.25">
      <c r="A978">
        <v>10977</v>
      </c>
      <c r="B978" t="s">
        <v>988</v>
      </c>
      <c r="C978" t="s">
        <v>334</v>
      </c>
      <c r="D978" t="s">
        <v>975</v>
      </c>
      <c r="E978" t="s">
        <v>26</v>
      </c>
      <c r="F978" t="s">
        <v>32</v>
      </c>
      <c r="G978" t="s">
        <v>33</v>
      </c>
      <c r="H978" t="s">
        <v>22</v>
      </c>
      <c r="I978" t="s">
        <v>34</v>
      </c>
      <c r="J978">
        <v>7</v>
      </c>
      <c r="K978">
        <v>4426</v>
      </c>
      <c r="L978">
        <v>615.46</v>
      </c>
    </row>
    <row r="979" spans="1:12" x14ac:dyDescent="0.25">
      <c r="A979">
        <v>10978</v>
      </c>
      <c r="B979" t="s">
        <v>988</v>
      </c>
      <c r="C979" t="s">
        <v>534</v>
      </c>
      <c r="D979" t="s">
        <v>575</v>
      </c>
      <c r="E979" t="s">
        <v>31</v>
      </c>
      <c r="F979" t="s">
        <v>20</v>
      </c>
      <c r="G979" t="s">
        <v>76</v>
      </c>
      <c r="H979" t="s">
        <v>22</v>
      </c>
      <c r="I979" t="s">
        <v>38</v>
      </c>
      <c r="J979">
        <v>6</v>
      </c>
      <c r="K979">
        <v>4499.68</v>
      </c>
      <c r="L979">
        <v>1101.74</v>
      </c>
    </row>
    <row r="980" spans="1:12" x14ac:dyDescent="0.25">
      <c r="A980">
        <v>10979</v>
      </c>
      <c r="B980" t="s">
        <v>988</v>
      </c>
      <c r="C980" t="s">
        <v>901</v>
      </c>
      <c r="D980" t="s">
        <v>103</v>
      </c>
      <c r="E980" t="s">
        <v>26</v>
      </c>
      <c r="F980" t="s">
        <v>20</v>
      </c>
      <c r="G980" t="s">
        <v>76</v>
      </c>
      <c r="H980" t="s">
        <v>16</v>
      </c>
      <c r="I980" t="s">
        <v>17</v>
      </c>
      <c r="J980">
        <v>7</v>
      </c>
      <c r="K980">
        <v>246.71</v>
      </c>
      <c r="L980">
        <v>-8.84</v>
      </c>
    </row>
    <row r="981" spans="1:12" x14ac:dyDescent="0.25">
      <c r="A981">
        <v>10980</v>
      </c>
      <c r="B981" t="s">
        <v>988</v>
      </c>
      <c r="C981" t="s">
        <v>463</v>
      </c>
      <c r="D981" t="s">
        <v>902</v>
      </c>
      <c r="E981" t="s">
        <v>13</v>
      </c>
      <c r="F981" t="s">
        <v>14</v>
      </c>
      <c r="G981" t="s">
        <v>15</v>
      </c>
      <c r="H981" t="s">
        <v>16</v>
      </c>
      <c r="I981" t="s">
        <v>17</v>
      </c>
      <c r="J981">
        <v>6</v>
      </c>
      <c r="K981">
        <v>810.69</v>
      </c>
      <c r="L981">
        <v>103.3</v>
      </c>
    </row>
    <row r="982" spans="1:12" x14ac:dyDescent="0.25">
      <c r="A982">
        <v>10981</v>
      </c>
      <c r="B982" t="s">
        <v>988</v>
      </c>
      <c r="C982" t="s">
        <v>283</v>
      </c>
      <c r="D982" t="s">
        <v>976</v>
      </c>
      <c r="E982" t="s">
        <v>26</v>
      </c>
      <c r="F982" t="s">
        <v>32</v>
      </c>
      <c r="G982" t="s">
        <v>33</v>
      </c>
      <c r="H982" t="s">
        <v>27</v>
      </c>
      <c r="I982" t="s">
        <v>28</v>
      </c>
      <c r="J982">
        <v>4</v>
      </c>
      <c r="K982">
        <v>2852.04</v>
      </c>
      <c r="L982">
        <v>357.35</v>
      </c>
    </row>
    <row r="983" spans="1:12" x14ac:dyDescent="0.25">
      <c r="A983">
        <v>10982</v>
      </c>
      <c r="B983" t="s">
        <v>988</v>
      </c>
      <c r="C983" t="s">
        <v>181</v>
      </c>
      <c r="D983" t="s">
        <v>653</v>
      </c>
      <c r="E983" t="s">
        <v>26</v>
      </c>
      <c r="F983" t="s">
        <v>32</v>
      </c>
      <c r="G983" t="s">
        <v>33</v>
      </c>
      <c r="H983" t="s">
        <v>16</v>
      </c>
      <c r="I983" t="s">
        <v>51</v>
      </c>
      <c r="J983">
        <v>7</v>
      </c>
      <c r="K983">
        <v>1657.14</v>
      </c>
      <c r="L983">
        <v>195.77</v>
      </c>
    </row>
    <row r="984" spans="1:12" x14ac:dyDescent="0.25">
      <c r="A984">
        <v>10983</v>
      </c>
      <c r="B984" t="s">
        <v>988</v>
      </c>
      <c r="C984" t="s">
        <v>250</v>
      </c>
      <c r="D984" t="s">
        <v>977</v>
      </c>
      <c r="E984" t="s">
        <v>31</v>
      </c>
      <c r="F984" t="s">
        <v>32</v>
      </c>
      <c r="G984" t="s">
        <v>54</v>
      </c>
      <c r="H984" t="s">
        <v>22</v>
      </c>
      <c r="I984" t="s">
        <v>23</v>
      </c>
      <c r="J984">
        <v>8</v>
      </c>
      <c r="K984">
        <v>938.58</v>
      </c>
      <c r="L984">
        <v>85.34</v>
      </c>
    </row>
    <row r="985" spans="1:12" x14ac:dyDescent="0.25">
      <c r="A985">
        <v>10984</v>
      </c>
      <c r="B985" t="s">
        <v>988</v>
      </c>
      <c r="C985" t="s">
        <v>286</v>
      </c>
      <c r="D985" t="s">
        <v>606</v>
      </c>
      <c r="E985" t="s">
        <v>31</v>
      </c>
      <c r="F985" t="s">
        <v>14</v>
      </c>
      <c r="G985" t="s">
        <v>15</v>
      </c>
      <c r="H985" t="s">
        <v>27</v>
      </c>
      <c r="I985" t="s">
        <v>28</v>
      </c>
      <c r="J985">
        <v>3</v>
      </c>
      <c r="K985">
        <v>4224.05</v>
      </c>
      <c r="L985">
        <v>546.99</v>
      </c>
    </row>
    <row r="986" spans="1:12" x14ac:dyDescent="0.25">
      <c r="A986">
        <v>10985</v>
      </c>
      <c r="B986" t="s">
        <v>988</v>
      </c>
      <c r="C986" t="s">
        <v>942</v>
      </c>
      <c r="D986" t="s">
        <v>660</v>
      </c>
      <c r="E986" t="s">
        <v>13</v>
      </c>
      <c r="F986" t="s">
        <v>14</v>
      </c>
      <c r="G986" t="s">
        <v>15</v>
      </c>
      <c r="H986" t="s">
        <v>27</v>
      </c>
      <c r="I986" t="s">
        <v>118</v>
      </c>
      <c r="J986">
        <v>7</v>
      </c>
      <c r="K986">
        <v>3643.94</v>
      </c>
      <c r="L986">
        <v>357.05</v>
      </c>
    </row>
    <row r="987" spans="1:12" x14ac:dyDescent="0.25">
      <c r="A987">
        <v>10986</v>
      </c>
      <c r="B987" t="s">
        <v>988</v>
      </c>
      <c r="C987" t="s">
        <v>330</v>
      </c>
      <c r="D987" t="s">
        <v>764</v>
      </c>
      <c r="E987" t="s">
        <v>31</v>
      </c>
      <c r="F987" t="s">
        <v>32</v>
      </c>
      <c r="G987" t="s">
        <v>54</v>
      </c>
      <c r="H987" t="s">
        <v>16</v>
      </c>
      <c r="I987" t="s">
        <v>81</v>
      </c>
      <c r="J987">
        <v>7</v>
      </c>
      <c r="K987">
        <v>1562.37</v>
      </c>
      <c r="L987">
        <v>413.11</v>
      </c>
    </row>
    <row r="988" spans="1:12" x14ac:dyDescent="0.25">
      <c r="A988">
        <v>10987</v>
      </c>
      <c r="B988" t="s">
        <v>988</v>
      </c>
      <c r="C988" t="s">
        <v>978</v>
      </c>
      <c r="D988" t="s">
        <v>252</v>
      </c>
      <c r="E988" t="s">
        <v>26</v>
      </c>
      <c r="F988" t="s">
        <v>14</v>
      </c>
      <c r="G988" t="s">
        <v>15</v>
      </c>
      <c r="H988" t="s">
        <v>22</v>
      </c>
      <c r="I988" t="s">
        <v>23</v>
      </c>
      <c r="J988">
        <v>1</v>
      </c>
      <c r="K988">
        <v>779.8</v>
      </c>
      <c r="L988">
        <v>146.54</v>
      </c>
    </row>
    <row r="989" spans="1:12" x14ac:dyDescent="0.25">
      <c r="A989">
        <v>10988</v>
      </c>
      <c r="B989" t="s">
        <v>988</v>
      </c>
      <c r="C989" t="s">
        <v>29</v>
      </c>
      <c r="D989" t="s">
        <v>259</v>
      </c>
      <c r="E989" t="s">
        <v>26</v>
      </c>
      <c r="F989" t="s">
        <v>14</v>
      </c>
      <c r="G989" t="s">
        <v>15</v>
      </c>
      <c r="H989" t="s">
        <v>16</v>
      </c>
      <c r="I989" t="s">
        <v>17</v>
      </c>
      <c r="J989">
        <v>1</v>
      </c>
      <c r="K989">
        <v>4677.1400000000003</v>
      </c>
      <c r="L989">
        <v>1222.8499999999999</v>
      </c>
    </row>
    <row r="990" spans="1:12" x14ac:dyDescent="0.25">
      <c r="A990">
        <v>10989</v>
      </c>
      <c r="B990" t="s">
        <v>988</v>
      </c>
      <c r="C990" t="s">
        <v>644</v>
      </c>
      <c r="D990" t="s">
        <v>979</v>
      </c>
      <c r="E990" t="s">
        <v>26</v>
      </c>
      <c r="F990" t="s">
        <v>32</v>
      </c>
      <c r="G990" t="s">
        <v>33</v>
      </c>
      <c r="H990" t="s">
        <v>27</v>
      </c>
      <c r="I990" t="s">
        <v>28</v>
      </c>
      <c r="J990">
        <v>7</v>
      </c>
      <c r="K990">
        <v>1422.57</v>
      </c>
      <c r="L990">
        <v>117.93</v>
      </c>
    </row>
    <row r="991" spans="1:12" x14ac:dyDescent="0.25">
      <c r="A991">
        <v>10990</v>
      </c>
      <c r="B991" t="s">
        <v>988</v>
      </c>
      <c r="C991" t="s">
        <v>955</v>
      </c>
      <c r="D991" t="s">
        <v>980</v>
      </c>
      <c r="E991" t="s">
        <v>31</v>
      </c>
      <c r="F991" t="s">
        <v>32</v>
      </c>
      <c r="G991" t="s">
        <v>33</v>
      </c>
      <c r="H991" t="s">
        <v>16</v>
      </c>
      <c r="I991" t="s">
        <v>51</v>
      </c>
      <c r="J991">
        <v>8</v>
      </c>
      <c r="K991">
        <v>3374.35</v>
      </c>
      <c r="L991">
        <v>584.82000000000005</v>
      </c>
    </row>
    <row r="992" spans="1:12" x14ac:dyDescent="0.25">
      <c r="A992">
        <v>10991</v>
      </c>
      <c r="B992" t="s">
        <v>988</v>
      </c>
      <c r="C992" t="s">
        <v>685</v>
      </c>
      <c r="D992" t="s">
        <v>705</v>
      </c>
      <c r="E992" t="s">
        <v>26</v>
      </c>
      <c r="F992" t="s">
        <v>32</v>
      </c>
      <c r="G992" t="s">
        <v>54</v>
      </c>
      <c r="H992" t="s">
        <v>16</v>
      </c>
      <c r="I992" t="s">
        <v>51</v>
      </c>
      <c r="J992">
        <v>4</v>
      </c>
      <c r="K992">
        <v>549.82000000000005</v>
      </c>
      <c r="L992">
        <v>61.67</v>
      </c>
    </row>
    <row r="993" spans="1:12" x14ac:dyDescent="0.25">
      <c r="A993">
        <v>10992</v>
      </c>
      <c r="B993" t="s">
        <v>988</v>
      </c>
      <c r="C993" t="s">
        <v>784</v>
      </c>
      <c r="D993" t="s">
        <v>787</v>
      </c>
      <c r="E993" t="s">
        <v>31</v>
      </c>
      <c r="F993" t="s">
        <v>46</v>
      </c>
      <c r="G993" t="s">
        <v>71</v>
      </c>
      <c r="H993" t="s">
        <v>22</v>
      </c>
      <c r="I993" t="s">
        <v>34</v>
      </c>
      <c r="J993">
        <v>1</v>
      </c>
      <c r="K993">
        <v>1141.1300000000001</v>
      </c>
      <c r="L993">
        <v>201.52</v>
      </c>
    </row>
    <row r="994" spans="1:12" x14ac:dyDescent="0.25">
      <c r="A994">
        <v>10993</v>
      </c>
      <c r="B994" t="s">
        <v>988</v>
      </c>
      <c r="C994" t="s">
        <v>433</v>
      </c>
      <c r="D994" t="s">
        <v>981</v>
      </c>
      <c r="E994" t="s">
        <v>26</v>
      </c>
      <c r="F994" t="s">
        <v>14</v>
      </c>
      <c r="G994" t="s">
        <v>37</v>
      </c>
      <c r="H994" t="s">
        <v>22</v>
      </c>
      <c r="I994" t="s">
        <v>38</v>
      </c>
      <c r="J994">
        <v>5</v>
      </c>
      <c r="K994">
        <v>3571.71</v>
      </c>
      <c r="L994">
        <v>678.93</v>
      </c>
    </row>
    <row r="995" spans="1:12" x14ac:dyDescent="0.25">
      <c r="A995">
        <v>10994</v>
      </c>
      <c r="B995" t="s">
        <v>988</v>
      </c>
      <c r="C995" t="s">
        <v>346</v>
      </c>
      <c r="D995" t="s">
        <v>779</v>
      </c>
      <c r="E995" t="s">
        <v>13</v>
      </c>
      <c r="F995" t="s">
        <v>32</v>
      </c>
      <c r="G995" t="s">
        <v>54</v>
      </c>
      <c r="H995" t="s">
        <v>27</v>
      </c>
      <c r="I995" t="s">
        <v>104</v>
      </c>
      <c r="J995">
        <v>7</v>
      </c>
      <c r="K995">
        <v>1020.97</v>
      </c>
      <c r="L995">
        <v>105.55</v>
      </c>
    </row>
    <row r="996" spans="1:12" x14ac:dyDescent="0.25">
      <c r="A996">
        <v>10995</v>
      </c>
      <c r="B996" t="s">
        <v>988</v>
      </c>
      <c r="C996" t="s">
        <v>881</v>
      </c>
      <c r="D996" t="s">
        <v>240</v>
      </c>
      <c r="E996" t="s">
        <v>13</v>
      </c>
      <c r="F996" t="s">
        <v>14</v>
      </c>
      <c r="G996" t="s">
        <v>15</v>
      </c>
      <c r="H996" t="s">
        <v>27</v>
      </c>
      <c r="I996" t="s">
        <v>118</v>
      </c>
      <c r="J996">
        <v>2</v>
      </c>
      <c r="K996">
        <v>1278.76</v>
      </c>
      <c r="L996">
        <v>331.07</v>
      </c>
    </row>
    <row r="997" spans="1:12" x14ac:dyDescent="0.25">
      <c r="A997">
        <v>10996</v>
      </c>
      <c r="B997" t="s">
        <v>988</v>
      </c>
      <c r="C997" t="s">
        <v>258</v>
      </c>
      <c r="D997" t="s">
        <v>982</v>
      </c>
      <c r="E997" t="s">
        <v>31</v>
      </c>
      <c r="F997" t="s">
        <v>20</v>
      </c>
      <c r="G997" t="s">
        <v>76</v>
      </c>
      <c r="H997" t="s">
        <v>27</v>
      </c>
      <c r="I997" t="s">
        <v>118</v>
      </c>
      <c r="J997">
        <v>2</v>
      </c>
      <c r="K997">
        <v>1836.69</v>
      </c>
      <c r="L997">
        <v>149.52000000000001</v>
      </c>
    </row>
    <row r="998" spans="1:12" x14ac:dyDescent="0.25">
      <c r="A998">
        <v>10997</v>
      </c>
      <c r="B998" t="s">
        <v>988</v>
      </c>
      <c r="C998" t="s">
        <v>962</v>
      </c>
      <c r="D998" t="s">
        <v>513</v>
      </c>
      <c r="E998" t="s">
        <v>26</v>
      </c>
      <c r="F998" t="s">
        <v>14</v>
      </c>
      <c r="G998" t="s">
        <v>37</v>
      </c>
      <c r="H998" t="s">
        <v>27</v>
      </c>
      <c r="I998" t="s">
        <v>28</v>
      </c>
      <c r="J998">
        <v>2</v>
      </c>
      <c r="K998">
        <v>340.76</v>
      </c>
      <c r="L998">
        <v>-43.18</v>
      </c>
    </row>
    <row r="999" spans="1:12" x14ac:dyDescent="0.25">
      <c r="A999">
        <v>10998</v>
      </c>
      <c r="B999" t="s">
        <v>988</v>
      </c>
      <c r="C999" t="s">
        <v>672</v>
      </c>
      <c r="D999" t="s">
        <v>259</v>
      </c>
      <c r="E999" t="s">
        <v>26</v>
      </c>
      <c r="F999" t="s">
        <v>20</v>
      </c>
      <c r="G999" t="s">
        <v>21</v>
      </c>
      <c r="H999" t="s">
        <v>16</v>
      </c>
      <c r="I999" t="s">
        <v>17</v>
      </c>
      <c r="J999">
        <v>8</v>
      </c>
      <c r="K999">
        <v>2641.23</v>
      </c>
      <c r="L999">
        <v>199.17</v>
      </c>
    </row>
    <row r="1000" spans="1:12" x14ac:dyDescent="0.25">
      <c r="A1000">
        <v>10999</v>
      </c>
      <c r="B1000" t="s">
        <v>988</v>
      </c>
      <c r="C1000" t="s">
        <v>348</v>
      </c>
      <c r="D1000" t="s">
        <v>735</v>
      </c>
      <c r="E1000" t="s">
        <v>13</v>
      </c>
      <c r="F1000" t="s">
        <v>14</v>
      </c>
      <c r="G1000" t="s">
        <v>15</v>
      </c>
      <c r="H1000" t="s">
        <v>22</v>
      </c>
      <c r="I1000" t="s">
        <v>38</v>
      </c>
      <c r="J1000">
        <v>4</v>
      </c>
      <c r="K1000">
        <v>422.65</v>
      </c>
      <c r="L1000">
        <v>9.16</v>
      </c>
    </row>
    <row r="1001" spans="1:12" x14ac:dyDescent="0.25">
      <c r="A1001">
        <v>11000</v>
      </c>
      <c r="B1001" t="s">
        <v>988</v>
      </c>
      <c r="C1001" t="s">
        <v>440</v>
      </c>
      <c r="D1001" t="s">
        <v>406</v>
      </c>
      <c r="E1001" t="s">
        <v>26</v>
      </c>
      <c r="F1001" t="s">
        <v>20</v>
      </c>
      <c r="G1001" t="s">
        <v>76</v>
      </c>
      <c r="H1001" t="s">
        <v>27</v>
      </c>
      <c r="I1001" t="s">
        <v>118</v>
      </c>
      <c r="J1001">
        <v>4</v>
      </c>
      <c r="K1001">
        <v>3696.23</v>
      </c>
      <c r="L1001">
        <v>970.72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X669"/>
  <sheetViews>
    <sheetView workbookViewId="0">
      <selection activeCell="J1" sqref="J1:J1048576"/>
    </sheetView>
  </sheetViews>
  <sheetFormatPr defaultRowHeight="15" x14ac:dyDescent="0.25"/>
  <cols>
    <col min="4" max="4" width="14.5703125" bestFit="1" customWidth="1"/>
    <col min="5" max="5" width="13.42578125" bestFit="1" customWidth="1"/>
    <col min="7" max="7" width="13.140625" customWidth="1"/>
    <col min="8" max="8" width="13.42578125" bestFit="1" customWidth="1"/>
    <col min="10" max="10" width="13.140625" style="16" customWidth="1"/>
    <col min="11" max="11" width="12.140625" bestFit="1" customWidth="1"/>
    <col min="13" max="13" width="14.5703125" bestFit="1" customWidth="1"/>
    <col min="14" max="14" width="12.5703125" bestFit="1" customWidth="1"/>
    <col min="16" max="16" width="14.5703125" bestFit="1" customWidth="1"/>
    <col min="17" max="17" width="15.42578125" bestFit="1" customWidth="1"/>
    <col min="19" max="19" width="13.140625" bestFit="1" customWidth="1"/>
    <col min="20" max="20" width="12.140625" bestFit="1" customWidth="1"/>
    <col min="22" max="22" width="12.5703125" customWidth="1"/>
    <col min="24" max="24" width="15.42578125" bestFit="1" customWidth="1"/>
  </cols>
  <sheetData>
    <row r="3" spans="4:24" x14ac:dyDescent="0.25">
      <c r="D3" s="1" t="s">
        <v>983</v>
      </c>
      <c r="E3" t="s">
        <v>985</v>
      </c>
      <c r="G3" s="1" t="s">
        <v>983</v>
      </c>
      <c r="H3" t="s">
        <v>985</v>
      </c>
      <c r="J3" s="1" t="s">
        <v>983</v>
      </c>
      <c r="K3" t="s">
        <v>985</v>
      </c>
      <c r="M3" s="1" t="s">
        <v>983</v>
      </c>
      <c r="N3" t="s">
        <v>989</v>
      </c>
      <c r="P3" s="1" t="s">
        <v>983</v>
      </c>
      <c r="Q3" t="s">
        <v>986</v>
      </c>
      <c r="S3" s="1" t="s">
        <v>983</v>
      </c>
      <c r="T3" t="s">
        <v>985</v>
      </c>
      <c r="V3" t="s">
        <v>989</v>
      </c>
      <c r="X3" t="s">
        <v>986</v>
      </c>
    </row>
    <row r="4" spans="4:24" x14ac:dyDescent="0.25">
      <c r="D4" s="2" t="s">
        <v>22</v>
      </c>
      <c r="E4" s="4">
        <v>837859.6399999999</v>
      </c>
      <c r="G4" s="2" t="s">
        <v>32</v>
      </c>
      <c r="H4" s="4">
        <v>602854.79</v>
      </c>
      <c r="J4" s="2" t="s">
        <v>988</v>
      </c>
      <c r="K4" s="3">
        <v>200118.93</v>
      </c>
      <c r="M4" s="2" t="s">
        <v>22</v>
      </c>
      <c r="N4" s="3">
        <v>131206.34999999998</v>
      </c>
      <c r="P4" s="2" t="s">
        <v>22</v>
      </c>
      <c r="Q4" s="3">
        <v>1588</v>
      </c>
      <c r="S4" s="2" t="s">
        <v>26</v>
      </c>
      <c r="T4" s="3">
        <v>824251.90000000037</v>
      </c>
      <c r="V4" s="3">
        <v>385169.84000000008</v>
      </c>
      <c r="X4" s="3">
        <v>4499</v>
      </c>
    </row>
    <row r="5" spans="4:24" x14ac:dyDescent="0.25">
      <c r="D5" s="2" t="s">
        <v>16</v>
      </c>
      <c r="E5" s="4">
        <v>844784.57000000065</v>
      </c>
      <c r="G5" s="2" t="s">
        <v>14</v>
      </c>
      <c r="H5" s="4">
        <v>591258.37</v>
      </c>
      <c r="J5" s="2" t="s">
        <v>1012</v>
      </c>
      <c r="K5" s="3">
        <v>222868.94999999998</v>
      </c>
      <c r="M5" s="2" t="s">
        <v>16</v>
      </c>
      <c r="N5" s="3">
        <v>132007.64000000001</v>
      </c>
      <c r="P5" s="2" t="s">
        <v>16</v>
      </c>
      <c r="Q5" s="3">
        <v>1573</v>
      </c>
      <c r="S5" s="2" t="s">
        <v>31</v>
      </c>
      <c r="T5" s="3">
        <v>812711.23000000045</v>
      </c>
    </row>
    <row r="6" spans="4:24" x14ac:dyDescent="0.25">
      <c r="D6" s="2" t="s">
        <v>27</v>
      </c>
      <c r="E6" s="4">
        <v>771495.2500000007</v>
      </c>
      <c r="G6" s="2" t="s">
        <v>46</v>
      </c>
      <c r="H6" s="4">
        <v>645041.72000000032</v>
      </c>
      <c r="J6" s="2" t="s">
        <v>1013</v>
      </c>
      <c r="K6" s="3">
        <v>181474.40999999997</v>
      </c>
      <c r="M6" s="2" t="s">
        <v>27</v>
      </c>
      <c r="N6" s="3">
        <v>121955.84999999998</v>
      </c>
      <c r="P6" s="2" t="s">
        <v>27</v>
      </c>
      <c r="Q6" s="3">
        <v>1338</v>
      </c>
      <c r="S6" s="2" t="s">
        <v>13</v>
      </c>
      <c r="T6" s="3">
        <v>817176.33000000042</v>
      </c>
    </row>
    <row r="7" spans="4:24" x14ac:dyDescent="0.25">
      <c r="D7" s="2" t="s">
        <v>984</v>
      </c>
      <c r="E7" s="4">
        <v>2454139.4600000009</v>
      </c>
      <c r="G7" s="2" t="s">
        <v>20</v>
      </c>
      <c r="H7" s="4">
        <v>614984.58000000019</v>
      </c>
      <c r="J7" s="2" t="s">
        <v>1014</v>
      </c>
      <c r="K7" s="3">
        <v>164798.15000000002</v>
      </c>
      <c r="M7" s="2" t="s">
        <v>984</v>
      </c>
      <c r="N7" s="3">
        <v>385169.83999999997</v>
      </c>
      <c r="P7" s="2" t="s">
        <v>984</v>
      </c>
      <c r="Q7" s="3">
        <v>4499</v>
      </c>
      <c r="S7" s="2" t="s">
        <v>984</v>
      </c>
      <c r="T7" s="3">
        <v>2454139.4600000014</v>
      </c>
    </row>
    <row r="8" spans="4:24" x14ac:dyDescent="0.25">
      <c r="G8" s="2" t="s">
        <v>984</v>
      </c>
      <c r="H8" s="4">
        <v>2454139.4600000004</v>
      </c>
      <c r="J8" s="2" t="s">
        <v>1015</v>
      </c>
      <c r="K8" s="3">
        <v>156353.77999999997</v>
      </c>
    </row>
    <row r="9" spans="4:24" x14ac:dyDescent="0.25">
      <c r="J9" s="2" t="s">
        <v>1016</v>
      </c>
      <c r="K9" s="3">
        <v>238005.63999999993</v>
      </c>
    </row>
    <row r="10" spans="4:24" x14ac:dyDescent="0.25">
      <c r="J10" s="2" t="s">
        <v>1017</v>
      </c>
      <c r="K10" s="3">
        <v>217210.06000000006</v>
      </c>
    </row>
    <row r="11" spans="4:24" x14ac:dyDescent="0.25">
      <c r="J11" s="2" t="s">
        <v>1018</v>
      </c>
      <c r="K11" s="3">
        <v>168221.44</v>
      </c>
    </row>
    <row r="12" spans="4:24" x14ac:dyDescent="0.25">
      <c r="J12" s="2" t="s">
        <v>1019</v>
      </c>
      <c r="K12" s="3">
        <v>203872.9</v>
      </c>
    </row>
    <row r="13" spans="4:24" x14ac:dyDescent="0.25">
      <c r="J13" s="2" t="s">
        <v>1020</v>
      </c>
      <c r="K13" s="3">
        <v>227167.86</v>
      </c>
    </row>
    <row r="14" spans="4:24" x14ac:dyDescent="0.25">
      <c r="J14" s="2" t="s">
        <v>1021</v>
      </c>
      <c r="K14" s="3">
        <v>241871.2600000001</v>
      </c>
    </row>
    <row r="15" spans="4:24" x14ac:dyDescent="0.25">
      <c r="J15" s="2" t="s">
        <v>1022</v>
      </c>
      <c r="K15" s="3">
        <v>232176.08</v>
      </c>
    </row>
    <row r="16" spans="4:24" x14ac:dyDescent="0.25">
      <c r="J16" s="15" t="s">
        <v>984</v>
      </c>
      <c r="K16" s="3">
        <v>2454139.46</v>
      </c>
    </row>
    <row r="17" spans="10:10" x14ac:dyDescent="0.25">
      <c r="J17"/>
    </row>
    <row r="18" spans="10:10" x14ac:dyDescent="0.25">
      <c r="J18"/>
    </row>
    <row r="19" spans="10:10" x14ac:dyDescent="0.25">
      <c r="J19"/>
    </row>
    <row r="20" spans="10:10" x14ac:dyDescent="0.25">
      <c r="J20"/>
    </row>
    <row r="21" spans="10:10" x14ac:dyDescent="0.25">
      <c r="J21"/>
    </row>
    <row r="22" spans="10:10" x14ac:dyDescent="0.25">
      <c r="J22"/>
    </row>
    <row r="23" spans="10:10" x14ac:dyDescent="0.25">
      <c r="J23"/>
    </row>
    <row r="24" spans="10:10" x14ac:dyDescent="0.25">
      <c r="J24"/>
    </row>
    <row r="25" spans="10:10" x14ac:dyDescent="0.25">
      <c r="J25"/>
    </row>
    <row r="26" spans="10:10" x14ac:dyDescent="0.25">
      <c r="J26"/>
    </row>
    <row r="27" spans="10:10" x14ac:dyDescent="0.25">
      <c r="J27"/>
    </row>
    <row r="28" spans="10:10" x14ac:dyDescent="0.25">
      <c r="J28"/>
    </row>
    <row r="29" spans="10:10" x14ac:dyDescent="0.25">
      <c r="J29"/>
    </row>
    <row r="30" spans="10:10" x14ac:dyDescent="0.25">
      <c r="J30"/>
    </row>
    <row r="31" spans="10:10" x14ac:dyDescent="0.25">
      <c r="J31"/>
    </row>
    <row r="32" spans="10:10" x14ac:dyDescent="0.25">
      <c r="J32"/>
    </row>
    <row r="33" spans="10:10" x14ac:dyDescent="0.25">
      <c r="J33"/>
    </row>
    <row r="34" spans="10:10" x14ac:dyDescent="0.25">
      <c r="J34"/>
    </row>
    <row r="35" spans="10:10" x14ac:dyDescent="0.25">
      <c r="J35"/>
    </row>
    <row r="36" spans="10:10" x14ac:dyDescent="0.25">
      <c r="J36"/>
    </row>
    <row r="37" spans="10:10" x14ac:dyDescent="0.25">
      <c r="J37"/>
    </row>
    <row r="38" spans="10:10" x14ac:dyDescent="0.25">
      <c r="J38"/>
    </row>
    <row r="39" spans="10:10" x14ac:dyDescent="0.25">
      <c r="J39"/>
    </row>
    <row r="40" spans="10:10" x14ac:dyDescent="0.25">
      <c r="J40"/>
    </row>
    <row r="41" spans="10:10" x14ac:dyDescent="0.25">
      <c r="J41"/>
    </row>
    <row r="42" spans="10:10" x14ac:dyDescent="0.25">
      <c r="J42"/>
    </row>
    <row r="43" spans="10:10" x14ac:dyDescent="0.25">
      <c r="J43"/>
    </row>
    <row r="44" spans="10:10" x14ac:dyDescent="0.25">
      <c r="J44"/>
    </row>
    <row r="45" spans="10:10" x14ac:dyDescent="0.25">
      <c r="J45"/>
    </row>
    <row r="46" spans="10:10" x14ac:dyDescent="0.25">
      <c r="J46"/>
    </row>
    <row r="47" spans="10:10" x14ac:dyDescent="0.25">
      <c r="J47"/>
    </row>
    <row r="48" spans="10:10" x14ac:dyDescent="0.25">
      <c r="J48"/>
    </row>
    <row r="49" spans="10:10" x14ac:dyDescent="0.25">
      <c r="J49"/>
    </row>
    <row r="50" spans="10:10" x14ac:dyDescent="0.25">
      <c r="J50"/>
    </row>
    <row r="51" spans="10:10" x14ac:dyDescent="0.25">
      <c r="J51"/>
    </row>
    <row r="52" spans="10:10" x14ac:dyDescent="0.25">
      <c r="J52"/>
    </row>
    <row r="53" spans="10:10" x14ac:dyDescent="0.25">
      <c r="J53"/>
    </row>
    <row r="54" spans="10:10" x14ac:dyDescent="0.25">
      <c r="J54"/>
    </row>
    <row r="55" spans="10:10" x14ac:dyDescent="0.25">
      <c r="J55"/>
    </row>
    <row r="56" spans="10:10" x14ac:dyDescent="0.25">
      <c r="J56"/>
    </row>
    <row r="57" spans="10:10" x14ac:dyDescent="0.25">
      <c r="J57"/>
    </row>
    <row r="58" spans="10:10" x14ac:dyDescent="0.25">
      <c r="J58"/>
    </row>
    <row r="59" spans="10:10" x14ac:dyDescent="0.25">
      <c r="J59"/>
    </row>
    <row r="60" spans="10:10" x14ac:dyDescent="0.25">
      <c r="J60"/>
    </row>
    <row r="61" spans="10:10" x14ac:dyDescent="0.25">
      <c r="J61"/>
    </row>
    <row r="62" spans="10:10" x14ac:dyDescent="0.25">
      <c r="J62"/>
    </row>
    <row r="63" spans="10:10" x14ac:dyDescent="0.25">
      <c r="J63"/>
    </row>
    <row r="64" spans="10:10" x14ac:dyDescent="0.25">
      <c r="J64"/>
    </row>
    <row r="65" spans="10:10" x14ac:dyDescent="0.25">
      <c r="J65"/>
    </row>
    <row r="66" spans="10:10" x14ac:dyDescent="0.25">
      <c r="J66"/>
    </row>
    <row r="67" spans="10:10" x14ac:dyDescent="0.25">
      <c r="J67"/>
    </row>
    <row r="68" spans="10:10" x14ac:dyDescent="0.25">
      <c r="J68"/>
    </row>
    <row r="69" spans="10:10" x14ac:dyDescent="0.25">
      <c r="J69"/>
    </row>
    <row r="70" spans="10:10" x14ac:dyDescent="0.25">
      <c r="J70"/>
    </row>
    <row r="71" spans="10:10" x14ac:dyDescent="0.25">
      <c r="J71"/>
    </row>
    <row r="72" spans="10:10" x14ac:dyDescent="0.25">
      <c r="J72"/>
    </row>
    <row r="73" spans="10:10" x14ac:dyDescent="0.25">
      <c r="J73"/>
    </row>
    <row r="74" spans="10:10" x14ac:dyDescent="0.25">
      <c r="J74"/>
    </row>
    <row r="75" spans="10:10" x14ac:dyDescent="0.25">
      <c r="J75"/>
    </row>
    <row r="76" spans="10:10" x14ac:dyDescent="0.25">
      <c r="J76"/>
    </row>
    <row r="77" spans="10:10" x14ac:dyDescent="0.25">
      <c r="J77"/>
    </row>
    <row r="78" spans="10:10" x14ac:dyDescent="0.25">
      <c r="J78"/>
    </row>
    <row r="79" spans="10:10" x14ac:dyDescent="0.25">
      <c r="J79"/>
    </row>
    <row r="80" spans="10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  <row r="93" spans="10:10" x14ac:dyDescent="0.25">
      <c r="J93"/>
    </row>
    <row r="94" spans="10:10" x14ac:dyDescent="0.25">
      <c r="J94"/>
    </row>
    <row r="95" spans="10:10" x14ac:dyDescent="0.25">
      <c r="J95"/>
    </row>
    <row r="96" spans="10:10" x14ac:dyDescent="0.25"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  <row r="100" spans="10:10" x14ac:dyDescent="0.25">
      <c r="J100"/>
    </row>
    <row r="101" spans="10:10" x14ac:dyDescent="0.25">
      <c r="J101"/>
    </row>
    <row r="102" spans="10:10" x14ac:dyDescent="0.25">
      <c r="J102"/>
    </row>
    <row r="103" spans="10:10" x14ac:dyDescent="0.25">
      <c r="J103"/>
    </row>
    <row r="104" spans="10:10" x14ac:dyDescent="0.25">
      <c r="J104"/>
    </row>
    <row r="105" spans="10:10" x14ac:dyDescent="0.25">
      <c r="J105"/>
    </row>
    <row r="106" spans="10:10" x14ac:dyDescent="0.25">
      <c r="J106"/>
    </row>
    <row r="107" spans="10:10" x14ac:dyDescent="0.25">
      <c r="J107"/>
    </row>
    <row r="108" spans="10:10" x14ac:dyDescent="0.25">
      <c r="J108"/>
    </row>
    <row r="109" spans="10:10" x14ac:dyDescent="0.25">
      <c r="J109"/>
    </row>
    <row r="110" spans="10:10" x14ac:dyDescent="0.25">
      <c r="J110"/>
    </row>
    <row r="111" spans="10:10" x14ac:dyDescent="0.25">
      <c r="J111"/>
    </row>
    <row r="112" spans="10:10" x14ac:dyDescent="0.25">
      <c r="J112"/>
    </row>
    <row r="113" spans="10:10" x14ac:dyDescent="0.25">
      <c r="J113"/>
    </row>
    <row r="114" spans="10:10" x14ac:dyDescent="0.25">
      <c r="J114"/>
    </row>
    <row r="115" spans="10:10" x14ac:dyDescent="0.25">
      <c r="J115"/>
    </row>
    <row r="116" spans="10:10" x14ac:dyDescent="0.25">
      <c r="J116"/>
    </row>
    <row r="117" spans="10:10" x14ac:dyDescent="0.25">
      <c r="J117"/>
    </row>
    <row r="118" spans="10:10" x14ac:dyDescent="0.25">
      <c r="J118"/>
    </row>
    <row r="119" spans="10:10" x14ac:dyDescent="0.25">
      <c r="J119"/>
    </row>
    <row r="120" spans="10:10" x14ac:dyDescent="0.25">
      <c r="J120"/>
    </row>
    <row r="121" spans="10:10" x14ac:dyDescent="0.25">
      <c r="J121"/>
    </row>
    <row r="122" spans="10:10" x14ac:dyDescent="0.25">
      <c r="J122"/>
    </row>
    <row r="123" spans="10:10" x14ac:dyDescent="0.25">
      <c r="J123"/>
    </row>
    <row r="124" spans="10:10" x14ac:dyDescent="0.25">
      <c r="J124"/>
    </row>
    <row r="125" spans="10:10" x14ac:dyDescent="0.25">
      <c r="J125"/>
    </row>
    <row r="126" spans="10:10" x14ac:dyDescent="0.25">
      <c r="J126"/>
    </row>
    <row r="127" spans="10:10" x14ac:dyDescent="0.25">
      <c r="J127"/>
    </row>
    <row r="128" spans="10:10" x14ac:dyDescent="0.25">
      <c r="J128"/>
    </row>
    <row r="129" spans="10:10" x14ac:dyDescent="0.25">
      <c r="J129"/>
    </row>
    <row r="130" spans="10:10" x14ac:dyDescent="0.25">
      <c r="J130"/>
    </row>
    <row r="131" spans="10:10" x14ac:dyDescent="0.25">
      <c r="J131"/>
    </row>
    <row r="132" spans="10:10" x14ac:dyDescent="0.25">
      <c r="J132"/>
    </row>
    <row r="133" spans="10:10" x14ac:dyDescent="0.25">
      <c r="J133"/>
    </row>
    <row r="134" spans="10:10" x14ac:dyDescent="0.25">
      <c r="J134"/>
    </row>
    <row r="135" spans="10:10" x14ac:dyDescent="0.25">
      <c r="J135"/>
    </row>
    <row r="136" spans="10:10" x14ac:dyDescent="0.25">
      <c r="J136"/>
    </row>
    <row r="137" spans="10:10" x14ac:dyDescent="0.25">
      <c r="J137"/>
    </row>
    <row r="138" spans="10:10" x14ac:dyDescent="0.25">
      <c r="J138"/>
    </row>
    <row r="139" spans="10:10" x14ac:dyDescent="0.25">
      <c r="J139"/>
    </row>
    <row r="140" spans="10:10" x14ac:dyDescent="0.25">
      <c r="J140"/>
    </row>
    <row r="141" spans="10:10" x14ac:dyDescent="0.25">
      <c r="J141"/>
    </row>
    <row r="142" spans="10:10" x14ac:dyDescent="0.25">
      <c r="J142"/>
    </row>
    <row r="143" spans="10:10" x14ac:dyDescent="0.25">
      <c r="J143"/>
    </row>
    <row r="144" spans="10:10" x14ac:dyDescent="0.25">
      <c r="J144"/>
    </row>
    <row r="145" spans="10:10" x14ac:dyDescent="0.25">
      <c r="J145"/>
    </row>
    <row r="146" spans="10:10" x14ac:dyDescent="0.25">
      <c r="J146"/>
    </row>
    <row r="147" spans="10:10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10:10" x14ac:dyDescent="0.25">
      <c r="J161"/>
    </row>
    <row r="162" spans="10:10" x14ac:dyDescent="0.25">
      <c r="J162"/>
    </row>
    <row r="163" spans="10:10" x14ac:dyDescent="0.25">
      <c r="J163"/>
    </row>
    <row r="164" spans="10:10" x14ac:dyDescent="0.25">
      <c r="J164"/>
    </row>
    <row r="165" spans="10:10" x14ac:dyDescent="0.25">
      <c r="J165"/>
    </row>
    <row r="166" spans="10:10" x14ac:dyDescent="0.25">
      <c r="J166"/>
    </row>
    <row r="167" spans="10:10" x14ac:dyDescent="0.25">
      <c r="J167"/>
    </row>
    <row r="168" spans="10:10" x14ac:dyDescent="0.25">
      <c r="J168"/>
    </row>
    <row r="169" spans="10:10" x14ac:dyDescent="0.25">
      <c r="J169"/>
    </row>
    <row r="170" spans="10:10" x14ac:dyDescent="0.25">
      <c r="J170"/>
    </row>
    <row r="171" spans="10:10" x14ac:dyDescent="0.25">
      <c r="J171"/>
    </row>
    <row r="172" spans="10:10" x14ac:dyDescent="0.25">
      <c r="J172"/>
    </row>
    <row r="173" spans="10:10" x14ac:dyDescent="0.25">
      <c r="J173"/>
    </row>
    <row r="174" spans="10:10" x14ac:dyDescent="0.25">
      <c r="J174"/>
    </row>
    <row r="175" spans="10:10" x14ac:dyDescent="0.25">
      <c r="J175"/>
    </row>
    <row r="176" spans="10:10" x14ac:dyDescent="0.25">
      <c r="J176"/>
    </row>
    <row r="177" spans="10:10" x14ac:dyDescent="0.25">
      <c r="J177"/>
    </row>
    <row r="178" spans="10:10" x14ac:dyDescent="0.25">
      <c r="J178"/>
    </row>
    <row r="179" spans="10:10" x14ac:dyDescent="0.25">
      <c r="J179"/>
    </row>
    <row r="180" spans="10:10" x14ac:dyDescent="0.25">
      <c r="J180"/>
    </row>
    <row r="181" spans="10:10" x14ac:dyDescent="0.25">
      <c r="J181"/>
    </row>
    <row r="182" spans="10:10" x14ac:dyDescent="0.25">
      <c r="J182"/>
    </row>
    <row r="183" spans="10:10" x14ac:dyDescent="0.25">
      <c r="J183"/>
    </row>
    <row r="184" spans="10:10" x14ac:dyDescent="0.25">
      <c r="J184"/>
    </row>
    <row r="185" spans="10:10" x14ac:dyDescent="0.25">
      <c r="J185"/>
    </row>
    <row r="186" spans="10:10" x14ac:dyDescent="0.25">
      <c r="J186"/>
    </row>
    <row r="187" spans="10:10" x14ac:dyDescent="0.25">
      <c r="J187"/>
    </row>
    <row r="188" spans="10:10" x14ac:dyDescent="0.25">
      <c r="J188"/>
    </row>
    <row r="189" spans="10:10" x14ac:dyDescent="0.25">
      <c r="J189"/>
    </row>
    <row r="190" spans="10:10" x14ac:dyDescent="0.25">
      <c r="J190"/>
    </row>
    <row r="191" spans="10:10" x14ac:dyDescent="0.25">
      <c r="J191"/>
    </row>
    <row r="192" spans="10:10" x14ac:dyDescent="0.25">
      <c r="J192"/>
    </row>
    <row r="193" spans="10:10" x14ac:dyDescent="0.25">
      <c r="J193"/>
    </row>
    <row r="194" spans="10:10" x14ac:dyDescent="0.25">
      <c r="J194"/>
    </row>
    <row r="195" spans="10:10" x14ac:dyDescent="0.25">
      <c r="J195"/>
    </row>
    <row r="196" spans="10:10" x14ac:dyDescent="0.25">
      <c r="J196"/>
    </row>
    <row r="197" spans="10:10" x14ac:dyDescent="0.25">
      <c r="J197"/>
    </row>
    <row r="198" spans="10:10" x14ac:dyDescent="0.25">
      <c r="J198"/>
    </row>
    <row r="199" spans="10:10" x14ac:dyDescent="0.25">
      <c r="J199"/>
    </row>
    <row r="200" spans="10:10" x14ac:dyDescent="0.25">
      <c r="J200"/>
    </row>
    <row r="201" spans="10:10" x14ac:dyDescent="0.25">
      <c r="J201"/>
    </row>
    <row r="202" spans="10:10" x14ac:dyDescent="0.25">
      <c r="J202"/>
    </row>
    <row r="203" spans="10:10" x14ac:dyDescent="0.25">
      <c r="J203"/>
    </row>
    <row r="204" spans="10:10" x14ac:dyDescent="0.25">
      <c r="J204"/>
    </row>
    <row r="205" spans="10:10" x14ac:dyDescent="0.25">
      <c r="J205"/>
    </row>
    <row r="206" spans="10:10" x14ac:dyDescent="0.25">
      <c r="J206"/>
    </row>
    <row r="207" spans="10:10" x14ac:dyDescent="0.25">
      <c r="J207"/>
    </row>
    <row r="208" spans="10:10" x14ac:dyDescent="0.25">
      <c r="J208"/>
    </row>
    <row r="209" spans="10:10" x14ac:dyDescent="0.25">
      <c r="J209"/>
    </row>
    <row r="210" spans="10:10" x14ac:dyDescent="0.25">
      <c r="J210"/>
    </row>
    <row r="211" spans="10:10" x14ac:dyDescent="0.25">
      <c r="J211"/>
    </row>
    <row r="212" spans="10:10" x14ac:dyDescent="0.25">
      <c r="J212"/>
    </row>
    <row r="213" spans="10:10" x14ac:dyDescent="0.25">
      <c r="J213"/>
    </row>
    <row r="214" spans="10:10" x14ac:dyDescent="0.25">
      <c r="J214"/>
    </row>
    <row r="215" spans="10:10" x14ac:dyDescent="0.25">
      <c r="J215"/>
    </row>
    <row r="216" spans="10:10" x14ac:dyDescent="0.25">
      <c r="J216"/>
    </row>
    <row r="217" spans="10:10" x14ac:dyDescent="0.25">
      <c r="J217"/>
    </row>
    <row r="218" spans="10:10" x14ac:dyDescent="0.25">
      <c r="J218"/>
    </row>
    <row r="219" spans="10:10" x14ac:dyDescent="0.25">
      <c r="J219"/>
    </row>
    <row r="220" spans="10:10" x14ac:dyDescent="0.25">
      <c r="J220"/>
    </row>
    <row r="221" spans="10:10" x14ac:dyDescent="0.25">
      <c r="J221"/>
    </row>
    <row r="222" spans="10:10" x14ac:dyDescent="0.25">
      <c r="J222"/>
    </row>
    <row r="223" spans="10:10" x14ac:dyDescent="0.25">
      <c r="J223"/>
    </row>
    <row r="224" spans="10:10" x14ac:dyDescent="0.25">
      <c r="J224"/>
    </row>
    <row r="225" spans="10:10" x14ac:dyDescent="0.25">
      <c r="J225"/>
    </row>
    <row r="226" spans="10:10" x14ac:dyDescent="0.25">
      <c r="J226"/>
    </row>
    <row r="227" spans="10:10" x14ac:dyDescent="0.25">
      <c r="J227"/>
    </row>
    <row r="228" spans="10:10" x14ac:dyDescent="0.25">
      <c r="J228"/>
    </row>
    <row r="229" spans="10:10" x14ac:dyDescent="0.25">
      <c r="J229"/>
    </row>
    <row r="230" spans="10:10" x14ac:dyDescent="0.25">
      <c r="J230"/>
    </row>
    <row r="231" spans="10:10" x14ac:dyDescent="0.25">
      <c r="J231"/>
    </row>
    <row r="232" spans="10:10" x14ac:dyDescent="0.25">
      <c r="J232"/>
    </row>
    <row r="233" spans="10:10" x14ac:dyDescent="0.25">
      <c r="J233"/>
    </row>
    <row r="234" spans="10:10" x14ac:dyDescent="0.25">
      <c r="J234"/>
    </row>
    <row r="235" spans="10:10" x14ac:dyDescent="0.25">
      <c r="J235"/>
    </row>
    <row r="236" spans="10:10" x14ac:dyDescent="0.25">
      <c r="J236"/>
    </row>
    <row r="237" spans="10:10" x14ac:dyDescent="0.25">
      <c r="J237"/>
    </row>
    <row r="238" spans="10:10" x14ac:dyDescent="0.25">
      <c r="J238"/>
    </row>
    <row r="239" spans="10:10" x14ac:dyDescent="0.25">
      <c r="J239"/>
    </row>
    <row r="240" spans="10:10" x14ac:dyDescent="0.25">
      <c r="J240"/>
    </row>
    <row r="241" spans="10:10" x14ac:dyDescent="0.25">
      <c r="J241"/>
    </row>
    <row r="242" spans="10:10" x14ac:dyDescent="0.25">
      <c r="J242"/>
    </row>
    <row r="243" spans="10:10" x14ac:dyDescent="0.25">
      <c r="J243"/>
    </row>
    <row r="244" spans="10:10" x14ac:dyDescent="0.25">
      <c r="J244"/>
    </row>
    <row r="245" spans="10:10" x14ac:dyDescent="0.25">
      <c r="J245"/>
    </row>
    <row r="246" spans="10:10" x14ac:dyDescent="0.25">
      <c r="J246"/>
    </row>
    <row r="247" spans="10:10" x14ac:dyDescent="0.25">
      <c r="J247"/>
    </row>
    <row r="248" spans="10:10" x14ac:dyDescent="0.25">
      <c r="J248"/>
    </row>
    <row r="249" spans="10:10" x14ac:dyDescent="0.25">
      <c r="J249"/>
    </row>
    <row r="250" spans="10:10" x14ac:dyDescent="0.25">
      <c r="J250"/>
    </row>
    <row r="251" spans="10:10" x14ac:dyDescent="0.25">
      <c r="J251"/>
    </row>
    <row r="252" spans="10:10" x14ac:dyDescent="0.25">
      <c r="J252"/>
    </row>
    <row r="253" spans="10:10" x14ac:dyDescent="0.25">
      <c r="J253"/>
    </row>
    <row r="254" spans="10:10" x14ac:dyDescent="0.25">
      <c r="J254"/>
    </row>
    <row r="255" spans="10:10" x14ac:dyDescent="0.25">
      <c r="J255"/>
    </row>
    <row r="256" spans="10:10" x14ac:dyDescent="0.25">
      <c r="J256"/>
    </row>
    <row r="257" spans="10:10" x14ac:dyDescent="0.25">
      <c r="J257"/>
    </row>
    <row r="258" spans="10:10" x14ac:dyDescent="0.25">
      <c r="J258"/>
    </row>
    <row r="259" spans="10:10" x14ac:dyDescent="0.25">
      <c r="J259"/>
    </row>
    <row r="260" spans="10:10" x14ac:dyDescent="0.25">
      <c r="J260"/>
    </row>
    <row r="261" spans="10:10" x14ac:dyDescent="0.25">
      <c r="J261"/>
    </row>
    <row r="262" spans="10:10" x14ac:dyDescent="0.25">
      <c r="J262"/>
    </row>
    <row r="263" spans="10:10" x14ac:dyDescent="0.25">
      <c r="J263"/>
    </row>
    <row r="264" spans="10:10" x14ac:dyDescent="0.25">
      <c r="J264"/>
    </row>
    <row r="265" spans="10:10" x14ac:dyDescent="0.25">
      <c r="J265"/>
    </row>
    <row r="266" spans="10:10" x14ac:dyDescent="0.25">
      <c r="J266"/>
    </row>
    <row r="267" spans="10:10" x14ac:dyDescent="0.25">
      <c r="J267"/>
    </row>
    <row r="268" spans="10:10" x14ac:dyDescent="0.25">
      <c r="J268"/>
    </row>
    <row r="269" spans="10:10" x14ac:dyDescent="0.25">
      <c r="J269"/>
    </row>
    <row r="270" spans="10:10" x14ac:dyDescent="0.25">
      <c r="J270"/>
    </row>
    <row r="271" spans="10:10" x14ac:dyDescent="0.25">
      <c r="J271"/>
    </row>
    <row r="272" spans="10:10" x14ac:dyDescent="0.25">
      <c r="J272"/>
    </row>
    <row r="273" spans="10:10" x14ac:dyDescent="0.25">
      <c r="J273"/>
    </row>
    <row r="274" spans="10:10" x14ac:dyDescent="0.25">
      <c r="J274"/>
    </row>
    <row r="275" spans="10:10" x14ac:dyDescent="0.25">
      <c r="J275"/>
    </row>
    <row r="276" spans="10:10" x14ac:dyDescent="0.25">
      <c r="J276"/>
    </row>
    <row r="277" spans="10:10" x14ac:dyDescent="0.25">
      <c r="J277"/>
    </row>
    <row r="278" spans="10:10" x14ac:dyDescent="0.25">
      <c r="J278"/>
    </row>
    <row r="279" spans="10:10" x14ac:dyDescent="0.25">
      <c r="J279"/>
    </row>
    <row r="280" spans="10:10" x14ac:dyDescent="0.25">
      <c r="J280"/>
    </row>
    <row r="281" spans="10:10" x14ac:dyDescent="0.25">
      <c r="J281"/>
    </row>
    <row r="282" spans="10:10" x14ac:dyDescent="0.25">
      <c r="J282"/>
    </row>
    <row r="283" spans="10:10" x14ac:dyDescent="0.25">
      <c r="J283"/>
    </row>
    <row r="284" spans="10:10" x14ac:dyDescent="0.25">
      <c r="J284"/>
    </row>
    <row r="285" spans="10:10" x14ac:dyDescent="0.25">
      <c r="J285"/>
    </row>
    <row r="286" spans="10:10" x14ac:dyDescent="0.25">
      <c r="J286"/>
    </row>
    <row r="287" spans="10:10" x14ac:dyDescent="0.25">
      <c r="J287"/>
    </row>
    <row r="288" spans="10:10" x14ac:dyDescent="0.25">
      <c r="J288"/>
    </row>
    <row r="289" spans="10:10" x14ac:dyDescent="0.25">
      <c r="J289"/>
    </row>
    <row r="290" spans="10:10" x14ac:dyDescent="0.25">
      <c r="J290"/>
    </row>
    <row r="291" spans="10:10" x14ac:dyDescent="0.25">
      <c r="J291"/>
    </row>
    <row r="292" spans="10:10" x14ac:dyDescent="0.25">
      <c r="J292"/>
    </row>
    <row r="293" spans="10:10" x14ac:dyDescent="0.25">
      <c r="J293"/>
    </row>
    <row r="294" spans="10:10" x14ac:dyDescent="0.25">
      <c r="J294"/>
    </row>
    <row r="295" spans="10:10" x14ac:dyDescent="0.25">
      <c r="J295"/>
    </row>
    <row r="296" spans="10:10" x14ac:dyDescent="0.25">
      <c r="J296"/>
    </row>
    <row r="297" spans="10:10" x14ac:dyDescent="0.25">
      <c r="J297"/>
    </row>
    <row r="298" spans="10:10" x14ac:dyDescent="0.25">
      <c r="J298"/>
    </row>
    <row r="299" spans="10:10" x14ac:dyDescent="0.25">
      <c r="J299"/>
    </row>
    <row r="300" spans="10:10" x14ac:dyDescent="0.25">
      <c r="J300"/>
    </row>
    <row r="301" spans="10:10" x14ac:dyDescent="0.25">
      <c r="J301"/>
    </row>
    <row r="302" spans="10:10" x14ac:dyDescent="0.25">
      <c r="J302"/>
    </row>
    <row r="303" spans="10:10" x14ac:dyDescent="0.25">
      <c r="J303"/>
    </row>
    <row r="304" spans="10:10" x14ac:dyDescent="0.25">
      <c r="J304"/>
    </row>
    <row r="305" spans="10:10" x14ac:dyDescent="0.25">
      <c r="J305"/>
    </row>
    <row r="306" spans="10:10" x14ac:dyDescent="0.25">
      <c r="J306"/>
    </row>
    <row r="307" spans="10:10" x14ac:dyDescent="0.25">
      <c r="J307"/>
    </row>
    <row r="308" spans="10:10" x14ac:dyDescent="0.25">
      <c r="J308"/>
    </row>
    <row r="309" spans="10:10" x14ac:dyDescent="0.25">
      <c r="J309"/>
    </row>
    <row r="310" spans="10:10" x14ac:dyDescent="0.25">
      <c r="J310"/>
    </row>
    <row r="311" spans="10:10" x14ac:dyDescent="0.25">
      <c r="J311"/>
    </row>
    <row r="312" spans="10:10" x14ac:dyDescent="0.25">
      <c r="J312"/>
    </row>
    <row r="313" spans="10:10" x14ac:dyDescent="0.25">
      <c r="J313"/>
    </row>
    <row r="314" spans="10:10" x14ac:dyDescent="0.25">
      <c r="J314"/>
    </row>
    <row r="315" spans="10:10" x14ac:dyDescent="0.25">
      <c r="J315"/>
    </row>
    <row r="316" spans="10:10" x14ac:dyDescent="0.25">
      <c r="J316"/>
    </row>
    <row r="317" spans="10:10" x14ac:dyDescent="0.25">
      <c r="J317"/>
    </row>
    <row r="318" spans="10:10" x14ac:dyDescent="0.25">
      <c r="J318"/>
    </row>
    <row r="319" spans="10:10" x14ac:dyDescent="0.25">
      <c r="J319"/>
    </row>
    <row r="320" spans="10:10" x14ac:dyDescent="0.25">
      <c r="J320"/>
    </row>
    <row r="321" spans="10:10" x14ac:dyDescent="0.25">
      <c r="J321"/>
    </row>
    <row r="322" spans="10:10" x14ac:dyDescent="0.25">
      <c r="J322"/>
    </row>
    <row r="323" spans="10:10" x14ac:dyDescent="0.25">
      <c r="J323"/>
    </row>
    <row r="324" spans="10:10" x14ac:dyDescent="0.25">
      <c r="J324"/>
    </row>
    <row r="325" spans="10:10" x14ac:dyDescent="0.25">
      <c r="J325"/>
    </row>
    <row r="326" spans="10:10" x14ac:dyDescent="0.25">
      <c r="J326"/>
    </row>
    <row r="327" spans="10:10" x14ac:dyDescent="0.25">
      <c r="J327"/>
    </row>
    <row r="328" spans="10:10" x14ac:dyDescent="0.25">
      <c r="J328"/>
    </row>
    <row r="329" spans="10:10" x14ac:dyDescent="0.25">
      <c r="J329"/>
    </row>
    <row r="330" spans="10:10" x14ac:dyDescent="0.25">
      <c r="J330"/>
    </row>
    <row r="331" spans="10:10" x14ac:dyDescent="0.25">
      <c r="J331"/>
    </row>
    <row r="332" spans="10:10" x14ac:dyDescent="0.25">
      <c r="J332"/>
    </row>
    <row r="333" spans="10:10" x14ac:dyDescent="0.25">
      <c r="J333"/>
    </row>
    <row r="334" spans="10:10" x14ac:dyDescent="0.25">
      <c r="J334"/>
    </row>
    <row r="335" spans="10:10" x14ac:dyDescent="0.25">
      <c r="J335"/>
    </row>
    <row r="336" spans="10:10" x14ac:dyDescent="0.25">
      <c r="J336"/>
    </row>
    <row r="337" spans="10:10" x14ac:dyDescent="0.25">
      <c r="J337"/>
    </row>
    <row r="338" spans="10:10" x14ac:dyDescent="0.25">
      <c r="J338"/>
    </row>
    <row r="339" spans="10:10" x14ac:dyDescent="0.25">
      <c r="J339"/>
    </row>
    <row r="340" spans="10:10" x14ac:dyDescent="0.25">
      <c r="J340"/>
    </row>
    <row r="341" spans="10:10" x14ac:dyDescent="0.25">
      <c r="J341"/>
    </row>
    <row r="342" spans="10:10" x14ac:dyDescent="0.25">
      <c r="J342"/>
    </row>
    <row r="343" spans="10:10" x14ac:dyDescent="0.25">
      <c r="J343"/>
    </row>
    <row r="344" spans="10:10" x14ac:dyDescent="0.25">
      <c r="J344"/>
    </row>
    <row r="345" spans="10:10" x14ac:dyDescent="0.25">
      <c r="J345"/>
    </row>
    <row r="346" spans="10:10" x14ac:dyDescent="0.25">
      <c r="J346"/>
    </row>
    <row r="347" spans="10:10" x14ac:dyDescent="0.25">
      <c r="J347"/>
    </row>
    <row r="348" spans="10:10" x14ac:dyDescent="0.25">
      <c r="J348"/>
    </row>
    <row r="349" spans="10:10" x14ac:dyDescent="0.25">
      <c r="J349"/>
    </row>
    <row r="350" spans="10:10" x14ac:dyDescent="0.25">
      <c r="J350"/>
    </row>
    <row r="351" spans="10:10" x14ac:dyDescent="0.25">
      <c r="J351"/>
    </row>
    <row r="352" spans="10:10" x14ac:dyDescent="0.25">
      <c r="J352"/>
    </row>
    <row r="353" spans="10:10" x14ac:dyDescent="0.25">
      <c r="J353"/>
    </row>
    <row r="354" spans="10:10" x14ac:dyDescent="0.25">
      <c r="J354"/>
    </row>
    <row r="355" spans="10:10" x14ac:dyDescent="0.25">
      <c r="J355"/>
    </row>
    <row r="356" spans="10:10" x14ac:dyDescent="0.25">
      <c r="J356"/>
    </row>
    <row r="357" spans="10:10" x14ac:dyDescent="0.25">
      <c r="J357"/>
    </row>
    <row r="358" spans="10:10" x14ac:dyDescent="0.25">
      <c r="J358"/>
    </row>
    <row r="359" spans="10:10" x14ac:dyDescent="0.25">
      <c r="J359"/>
    </row>
    <row r="360" spans="10:10" x14ac:dyDescent="0.25">
      <c r="J360"/>
    </row>
    <row r="361" spans="10:10" x14ac:dyDescent="0.25">
      <c r="J361"/>
    </row>
    <row r="362" spans="10:10" x14ac:dyDescent="0.25">
      <c r="J362"/>
    </row>
    <row r="363" spans="10:10" x14ac:dyDescent="0.25">
      <c r="J363"/>
    </row>
    <row r="364" spans="10:10" x14ac:dyDescent="0.25">
      <c r="J364"/>
    </row>
    <row r="365" spans="10:10" x14ac:dyDescent="0.25">
      <c r="J365"/>
    </row>
    <row r="366" spans="10:10" x14ac:dyDescent="0.25">
      <c r="J366"/>
    </row>
    <row r="367" spans="10:10" x14ac:dyDescent="0.25">
      <c r="J367"/>
    </row>
    <row r="368" spans="10:10" x14ac:dyDescent="0.25">
      <c r="J368"/>
    </row>
    <row r="369" spans="10:10" x14ac:dyDescent="0.25">
      <c r="J369"/>
    </row>
    <row r="370" spans="10:10" x14ac:dyDescent="0.25">
      <c r="J370"/>
    </row>
    <row r="371" spans="10:10" x14ac:dyDescent="0.25">
      <c r="J371"/>
    </row>
    <row r="372" spans="10:10" x14ac:dyDescent="0.25">
      <c r="J372"/>
    </row>
    <row r="373" spans="10:10" x14ac:dyDescent="0.25">
      <c r="J373"/>
    </row>
    <row r="374" spans="10:10" x14ac:dyDescent="0.25">
      <c r="J374"/>
    </row>
    <row r="375" spans="10:10" x14ac:dyDescent="0.25">
      <c r="J375"/>
    </row>
    <row r="376" spans="10:10" x14ac:dyDescent="0.25">
      <c r="J376"/>
    </row>
    <row r="377" spans="10:10" x14ac:dyDescent="0.25">
      <c r="J377"/>
    </row>
    <row r="378" spans="10:10" x14ac:dyDescent="0.25">
      <c r="J378"/>
    </row>
    <row r="379" spans="10:10" x14ac:dyDescent="0.25">
      <c r="J379"/>
    </row>
    <row r="380" spans="10:10" x14ac:dyDescent="0.25">
      <c r="J380"/>
    </row>
    <row r="381" spans="10:10" x14ac:dyDescent="0.25">
      <c r="J381"/>
    </row>
    <row r="382" spans="10:10" x14ac:dyDescent="0.25">
      <c r="J382"/>
    </row>
    <row r="383" spans="10:10" x14ac:dyDescent="0.25">
      <c r="J383"/>
    </row>
    <row r="384" spans="10:10" x14ac:dyDescent="0.25">
      <c r="J384"/>
    </row>
    <row r="385" spans="10:10" x14ac:dyDescent="0.25">
      <c r="J385"/>
    </row>
    <row r="386" spans="10:10" x14ac:dyDescent="0.25">
      <c r="J386"/>
    </row>
    <row r="387" spans="10:10" x14ac:dyDescent="0.25">
      <c r="J387"/>
    </row>
    <row r="388" spans="10:10" x14ac:dyDescent="0.25">
      <c r="J388"/>
    </row>
    <row r="389" spans="10:10" x14ac:dyDescent="0.25">
      <c r="J389"/>
    </row>
    <row r="390" spans="10:10" x14ac:dyDescent="0.25">
      <c r="J390"/>
    </row>
    <row r="391" spans="10:10" x14ac:dyDescent="0.25">
      <c r="J391"/>
    </row>
    <row r="392" spans="10:10" x14ac:dyDescent="0.25">
      <c r="J392"/>
    </row>
    <row r="393" spans="10:10" x14ac:dyDescent="0.25">
      <c r="J393"/>
    </row>
    <row r="394" spans="10:10" x14ac:dyDescent="0.25">
      <c r="J394"/>
    </row>
    <row r="395" spans="10:10" x14ac:dyDescent="0.25">
      <c r="J395"/>
    </row>
    <row r="396" spans="10:10" x14ac:dyDescent="0.25">
      <c r="J396"/>
    </row>
    <row r="397" spans="10:10" x14ac:dyDescent="0.25">
      <c r="J397"/>
    </row>
    <row r="398" spans="10:10" x14ac:dyDescent="0.25">
      <c r="J398"/>
    </row>
    <row r="399" spans="10:10" x14ac:dyDescent="0.25">
      <c r="J399"/>
    </row>
    <row r="400" spans="10:10" x14ac:dyDescent="0.25">
      <c r="J400"/>
    </row>
    <row r="401" spans="10:10" x14ac:dyDescent="0.25">
      <c r="J401"/>
    </row>
    <row r="402" spans="10:10" x14ac:dyDescent="0.25">
      <c r="J402"/>
    </row>
    <row r="403" spans="10:10" x14ac:dyDescent="0.25">
      <c r="J403"/>
    </row>
    <row r="404" spans="10:10" x14ac:dyDescent="0.25">
      <c r="J404"/>
    </row>
    <row r="405" spans="10:10" x14ac:dyDescent="0.25">
      <c r="J405"/>
    </row>
    <row r="406" spans="10:10" x14ac:dyDescent="0.25">
      <c r="J406"/>
    </row>
    <row r="407" spans="10:10" x14ac:dyDescent="0.25">
      <c r="J407"/>
    </row>
    <row r="408" spans="10:10" x14ac:dyDescent="0.25">
      <c r="J408"/>
    </row>
    <row r="409" spans="10:10" x14ac:dyDescent="0.25">
      <c r="J409"/>
    </row>
    <row r="410" spans="10:10" x14ac:dyDescent="0.25">
      <c r="J410"/>
    </row>
    <row r="411" spans="10:10" x14ac:dyDescent="0.25">
      <c r="J411"/>
    </row>
    <row r="412" spans="10:10" x14ac:dyDescent="0.25">
      <c r="J412"/>
    </row>
    <row r="413" spans="10:10" x14ac:dyDescent="0.25">
      <c r="J413"/>
    </row>
    <row r="414" spans="10:10" x14ac:dyDescent="0.25">
      <c r="J414"/>
    </row>
    <row r="415" spans="10:10" x14ac:dyDescent="0.25">
      <c r="J415"/>
    </row>
    <row r="416" spans="10:10" x14ac:dyDescent="0.25">
      <c r="J416"/>
    </row>
    <row r="417" spans="10:10" x14ac:dyDescent="0.25">
      <c r="J417"/>
    </row>
    <row r="418" spans="10:10" x14ac:dyDescent="0.25">
      <c r="J418"/>
    </row>
    <row r="419" spans="10:10" x14ac:dyDescent="0.25">
      <c r="J419"/>
    </row>
    <row r="420" spans="10:10" x14ac:dyDescent="0.25">
      <c r="J420"/>
    </row>
    <row r="421" spans="10:10" x14ac:dyDescent="0.25">
      <c r="J421"/>
    </row>
    <row r="422" spans="10:10" x14ac:dyDescent="0.25">
      <c r="J422"/>
    </row>
    <row r="423" spans="10:10" x14ac:dyDescent="0.25">
      <c r="J423"/>
    </row>
    <row r="424" spans="10:10" x14ac:dyDescent="0.25">
      <c r="J424"/>
    </row>
    <row r="425" spans="10:10" x14ac:dyDescent="0.25">
      <c r="J425"/>
    </row>
    <row r="426" spans="10:10" x14ac:dyDescent="0.25">
      <c r="J426"/>
    </row>
    <row r="427" spans="10:10" x14ac:dyDescent="0.25">
      <c r="J427"/>
    </row>
    <row r="428" spans="10:10" x14ac:dyDescent="0.25">
      <c r="J428"/>
    </row>
    <row r="429" spans="10:10" x14ac:dyDescent="0.25">
      <c r="J429"/>
    </row>
    <row r="430" spans="10:10" x14ac:dyDescent="0.25">
      <c r="J430"/>
    </row>
    <row r="431" spans="10:10" x14ac:dyDescent="0.25">
      <c r="J431"/>
    </row>
    <row r="432" spans="10:10" x14ac:dyDescent="0.25">
      <c r="J432"/>
    </row>
    <row r="433" spans="10:10" x14ac:dyDescent="0.25">
      <c r="J433"/>
    </row>
    <row r="434" spans="10:10" x14ac:dyDescent="0.25">
      <c r="J434"/>
    </row>
    <row r="435" spans="10:10" x14ac:dyDescent="0.25">
      <c r="J435"/>
    </row>
    <row r="436" spans="10:10" x14ac:dyDescent="0.25">
      <c r="J436"/>
    </row>
    <row r="437" spans="10:10" x14ac:dyDescent="0.25">
      <c r="J437"/>
    </row>
    <row r="438" spans="10:10" x14ac:dyDescent="0.25">
      <c r="J438"/>
    </row>
    <row r="439" spans="10:10" x14ac:dyDescent="0.25">
      <c r="J439"/>
    </row>
    <row r="440" spans="10:10" x14ac:dyDescent="0.25">
      <c r="J440"/>
    </row>
    <row r="441" spans="10:10" x14ac:dyDescent="0.25">
      <c r="J441"/>
    </row>
    <row r="442" spans="10:10" x14ac:dyDescent="0.25">
      <c r="J442"/>
    </row>
    <row r="443" spans="10:10" x14ac:dyDescent="0.25">
      <c r="J443"/>
    </row>
    <row r="444" spans="10:10" x14ac:dyDescent="0.25">
      <c r="J444"/>
    </row>
    <row r="445" spans="10:10" x14ac:dyDescent="0.25">
      <c r="J445"/>
    </row>
    <row r="446" spans="10:10" x14ac:dyDescent="0.25">
      <c r="J446"/>
    </row>
    <row r="447" spans="10:10" x14ac:dyDescent="0.25">
      <c r="J447"/>
    </row>
    <row r="448" spans="10:10" x14ac:dyDescent="0.25">
      <c r="J448"/>
    </row>
    <row r="449" spans="10:10" x14ac:dyDescent="0.25">
      <c r="J449"/>
    </row>
    <row r="450" spans="10:10" x14ac:dyDescent="0.25">
      <c r="J450"/>
    </row>
    <row r="451" spans="10:10" x14ac:dyDescent="0.25">
      <c r="J451"/>
    </row>
    <row r="452" spans="10:10" x14ac:dyDescent="0.25">
      <c r="J452"/>
    </row>
    <row r="453" spans="10:10" x14ac:dyDescent="0.25">
      <c r="J453"/>
    </row>
    <row r="454" spans="10:10" x14ac:dyDescent="0.25">
      <c r="J454"/>
    </row>
    <row r="455" spans="10:10" x14ac:dyDescent="0.25">
      <c r="J455"/>
    </row>
    <row r="456" spans="10:10" x14ac:dyDescent="0.25">
      <c r="J456"/>
    </row>
    <row r="457" spans="10:10" x14ac:dyDescent="0.25">
      <c r="J457"/>
    </row>
    <row r="458" spans="10:10" x14ac:dyDescent="0.25">
      <c r="J458"/>
    </row>
    <row r="459" spans="10:10" x14ac:dyDescent="0.25">
      <c r="J459"/>
    </row>
    <row r="460" spans="10:10" x14ac:dyDescent="0.25">
      <c r="J460"/>
    </row>
    <row r="461" spans="10:10" x14ac:dyDescent="0.25">
      <c r="J461"/>
    </row>
    <row r="462" spans="10:10" x14ac:dyDescent="0.25">
      <c r="J462"/>
    </row>
    <row r="463" spans="10:10" x14ac:dyDescent="0.25">
      <c r="J463"/>
    </row>
    <row r="464" spans="10:10" x14ac:dyDescent="0.25">
      <c r="J464"/>
    </row>
    <row r="465" spans="10:10" x14ac:dyDescent="0.25">
      <c r="J465"/>
    </row>
    <row r="466" spans="10:10" x14ac:dyDescent="0.25">
      <c r="J466"/>
    </row>
    <row r="467" spans="10:10" x14ac:dyDescent="0.25">
      <c r="J467"/>
    </row>
    <row r="468" spans="10:10" x14ac:dyDescent="0.25">
      <c r="J468"/>
    </row>
    <row r="469" spans="10:10" x14ac:dyDescent="0.25">
      <c r="J469"/>
    </row>
    <row r="470" spans="10:10" x14ac:dyDescent="0.25">
      <c r="J470"/>
    </row>
    <row r="471" spans="10:10" x14ac:dyDescent="0.25">
      <c r="J471"/>
    </row>
    <row r="472" spans="10:10" x14ac:dyDescent="0.25">
      <c r="J472"/>
    </row>
    <row r="473" spans="10:10" x14ac:dyDescent="0.25">
      <c r="J473"/>
    </row>
    <row r="474" spans="10:10" x14ac:dyDescent="0.25">
      <c r="J474"/>
    </row>
    <row r="475" spans="10:10" x14ac:dyDescent="0.25">
      <c r="J475"/>
    </row>
    <row r="476" spans="10:10" x14ac:dyDescent="0.25">
      <c r="J476"/>
    </row>
    <row r="477" spans="10:10" x14ac:dyDescent="0.25">
      <c r="J477"/>
    </row>
    <row r="478" spans="10:10" x14ac:dyDescent="0.25">
      <c r="J478"/>
    </row>
    <row r="479" spans="10:10" x14ac:dyDescent="0.25">
      <c r="J479"/>
    </row>
    <row r="480" spans="10:10" x14ac:dyDescent="0.25">
      <c r="J480"/>
    </row>
    <row r="481" spans="10:10" x14ac:dyDescent="0.25">
      <c r="J481"/>
    </row>
    <row r="482" spans="10:10" x14ac:dyDescent="0.25">
      <c r="J482"/>
    </row>
    <row r="483" spans="10:10" x14ac:dyDescent="0.25">
      <c r="J483"/>
    </row>
    <row r="484" spans="10:10" x14ac:dyDescent="0.25">
      <c r="J484"/>
    </row>
    <row r="485" spans="10:10" x14ac:dyDescent="0.25">
      <c r="J485"/>
    </row>
    <row r="486" spans="10:10" x14ac:dyDescent="0.25">
      <c r="J486"/>
    </row>
    <row r="487" spans="10:10" x14ac:dyDescent="0.25">
      <c r="J487"/>
    </row>
    <row r="488" spans="10:10" x14ac:dyDescent="0.25">
      <c r="J488"/>
    </row>
    <row r="489" spans="10:10" x14ac:dyDescent="0.25">
      <c r="J489"/>
    </row>
    <row r="490" spans="10:10" x14ac:dyDescent="0.25">
      <c r="J490"/>
    </row>
    <row r="491" spans="10:10" x14ac:dyDescent="0.25">
      <c r="J491"/>
    </row>
    <row r="492" spans="10:10" x14ac:dyDescent="0.25">
      <c r="J492"/>
    </row>
    <row r="493" spans="10:10" x14ac:dyDescent="0.25">
      <c r="J493"/>
    </row>
    <row r="494" spans="10:10" x14ac:dyDescent="0.25">
      <c r="J494"/>
    </row>
    <row r="495" spans="10:10" x14ac:dyDescent="0.25">
      <c r="J495"/>
    </row>
    <row r="496" spans="10:10" x14ac:dyDescent="0.25">
      <c r="J496"/>
    </row>
    <row r="497" spans="10:10" x14ac:dyDescent="0.25">
      <c r="J497"/>
    </row>
    <row r="498" spans="10:10" x14ac:dyDescent="0.25">
      <c r="J498"/>
    </row>
    <row r="499" spans="10:10" x14ac:dyDescent="0.25">
      <c r="J499"/>
    </row>
    <row r="500" spans="10:10" x14ac:dyDescent="0.25">
      <c r="J500"/>
    </row>
    <row r="501" spans="10:10" x14ac:dyDescent="0.25">
      <c r="J501"/>
    </row>
    <row r="502" spans="10:10" x14ac:dyDescent="0.25">
      <c r="J502"/>
    </row>
    <row r="503" spans="10:10" x14ac:dyDescent="0.25">
      <c r="J503"/>
    </row>
    <row r="504" spans="10:10" x14ac:dyDescent="0.25">
      <c r="J504"/>
    </row>
    <row r="505" spans="10:10" x14ac:dyDescent="0.25">
      <c r="J505"/>
    </row>
    <row r="506" spans="10:10" x14ac:dyDescent="0.25">
      <c r="J506"/>
    </row>
    <row r="507" spans="10:10" x14ac:dyDescent="0.25">
      <c r="J507"/>
    </row>
    <row r="508" spans="10:10" x14ac:dyDescent="0.25">
      <c r="J508"/>
    </row>
    <row r="509" spans="10:10" x14ac:dyDescent="0.25">
      <c r="J509"/>
    </row>
    <row r="510" spans="10:10" x14ac:dyDescent="0.25">
      <c r="J510"/>
    </row>
    <row r="511" spans="10:10" x14ac:dyDescent="0.25">
      <c r="J511"/>
    </row>
    <row r="512" spans="10:10" x14ac:dyDescent="0.25">
      <c r="J512"/>
    </row>
    <row r="513" spans="10:10" x14ac:dyDescent="0.25">
      <c r="J513"/>
    </row>
    <row r="514" spans="10:10" x14ac:dyDescent="0.25">
      <c r="J514"/>
    </row>
    <row r="515" spans="10:10" x14ac:dyDescent="0.25">
      <c r="J515"/>
    </row>
    <row r="516" spans="10:10" x14ac:dyDescent="0.25">
      <c r="J516"/>
    </row>
    <row r="517" spans="10:10" x14ac:dyDescent="0.25">
      <c r="J517"/>
    </row>
    <row r="518" spans="10:10" x14ac:dyDescent="0.25">
      <c r="J518"/>
    </row>
    <row r="519" spans="10:10" x14ac:dyDescent="0.25">
      <c r="J519"/>
    </row>
    <row r="520" spans="10:10" x14ac:dyDescent="0.25">
      <c r="J520"/>
    </row>
    <row r="521" spans="10:10" x14ac:dyDescent="0.25">
      <c r="J521"/>
    </row>
    <row r="522" spans="10:10" x14ac:dyDescent="0.25">
      <c r="J522"/>
    </row>
    <row r="523" spans="10:10" x14ac:dyDescent="0.25">
      <c r="J523"/>
    </row>
    <row r="524" spans="10:10" x14ac:dyDescent="0.25">
      <c r="J524"/>
    </row>
    <row r="525" spans="10:10" x14ac:dyDescent="0.25">
      <c r="J525"/>
    </row>
    <row r="526" spans="10:10" x14ac:dyDescent="0.25">
      <c r="J526"/>
    </row>
    <row r="527" spans="10:10" x14ac:dyDescent="0.25">
      <c r="J527"/>
    </row>
    <row r="528" spans="10:10" x14ac:dyDescent="0.25">
      <c r="J528"/>
    </row>
    <row r="529" spans="10:10" x14ac:dyDescent="0.25">
      <c r="J529"/>
    </row>
    <row r="530" spans="10:10" x14ac:dyDescent="0.25">
      <c r="J530"/>
    </row>
    <row r="531" spans="10:10" x14ac:dyDescent="0.25">
      <c r="J531"/>
    </row>
    <row r="532" spans="10:10" x14ac:dyDescent="0.25">
      <c r="J532"/>
    </row>
    <row r="533" spans="10:10" x14ac:dyDescent="0.25">
      <c r="J533"/>
    </row>
    <row r="534" spans="10:10" x14ac:dyDescent="0.25">
      <c r="J534"/>
    </row>
    <row r="535" spans="10:10" x14ac:dyDescent="0.25">
      <c r="J535"/>
    </row>
    <row r="536" spans="10:10" x14ac:dyDescent="0.25">
      <c r="J536"/>
    </row>
    <row r="537" spans="10:10" x14ac:dyDescent="0.25">
      <c r="J537"/>
    </row>
    <row r="538" spans="10:10" x14ac:dyDescent="0.25">
      <c r="J538"/>
    </row>
    <row r="539" spans="10:10" x14ac:dyDescent="0.25">
      <c r="J539"/>
    </row>
    <row r="540" spans="10:10" x14ac:dyDescent="0.25">
      <c r="J540"/>
    </row>
    <row r="541" spans="10:10" x14ac:dyDescent="0.25">
      <c r="J541"/>
    </row>
    <row r="542" spans="10:10" x14ac:dyDescent="0.25">
      <c r="J542"/>
    </row>
    <row r="543" spans="10:10" x14ac:dyDescent="0.25">
      <c r="J543"/>
    </row>
    <row r="544" spans="10:10" x14ac:dyDescent="0.25">
      <c r="J544"/>
    </row>
    <row r="545" spans="10:10" x14ac:dyDescent="0.25">
      <c r="J545"/>
    </row>
    <row r="546" spans="10:10" x14ac:dyDescent="0.25">
      <c r="J546"/>
    </row>
    <row r="547" spans="10:10" x14ac:dyDescent="0.25">
      <c r="J547"/>
    </row>
    <row r="548" spans="10:10" x14ac:dyDescent="0.25">
      <c r="J548"/>
    </row>
    <row r="549" spans="10:10" x14ac:dyDescent="0.25">
      <c r="J549"/>
    </row>
    <row r="550" spans="10:10" x14ac:dyDescent="0.25">
      <c r="J550"/>
    </row>
    <row r="551" spans="10:10" x14ac:dyDescent="0.25">
      <c r="J551"/>
    </row>
    <row r="552" spans="10:10" x14ac:dyDescent="0.25">
      <c r="J552"/>
    </row>
    <row r="553" spans="10:10" x14ac:dyDescent="0.25">
      <c r="J553"/>
    </row>
    <row r="554" spans="10:10" x14ac:dyDescent="0.25">
      <c r="J554"/>
    </row>
    <row r="555" spans="10:10" x14ac:dyDescent="0.25">
      <c r="J555"/>
    </row>
    <row r="556" spans="10:10" x14ac:dyDescent="0.25">
      <c r="J556"/>
    </row>
    <row r="557" spans="10:10" x14ac:dyDescent="0.25">
      <c r="J557"/>
    </row>
    <row r="558" spans="10:10" x14ac:dyDescent="0.25">
      <c r="J558"/>
    </row>
    <row r="559" spans="10:10" x14ac:dyDescent="0.25">
      <c r="J559"/>
    </row>
    <row r="560" spans="10:10" x14ac:dyDescent="0.25">
      <c r="J560"/>
    </row>
    <row r="561" spans="10:10" x14ac:dyDescent="0.25">
      <c r="J561"/>
    </row>
    <row r="562" spans="10:10" x14ac:dyDescent="0.25">
      <c r="J562"/>
    </row>
    <row r="563" spans="10:10" x14ac:dyDescent="0.25">
      <c r="J563"/>
    </row>
    <row r="564" spans="10:10" x14ac:dyDescent="0.25">
      <c r="J564"/>
    </row>
    <row r="565" spans="10:10" x14ac:dyDescent="0.25">
      <c r="J565"/>
    </row>
    <row r="566" spans="10:10" x14ac:dyDescent="0.25">
      <c r="J566"/>
    </row>
    <row r="567" spans="10:10" x14ac:dyDescent="0.25">
      <c r="J567"/>
    </row>
    <row r="568" spans="10:10" x14ac:dyDescent="0.25">
      <c r="J568"/>
    </row>
    <row r="569" spans="10:10" x14ac:dyDescent="0.25">
      <c r="J569"/>
    </row>
    <row r="570" spans="10:10" x14ac:dyDescent="0.25">
      <c r="J570"/>
    </row>
    <row r="571" spans="10:10" x14ac:dyDescent="0.25">
      <c r="J571"/>
    </row>
    <row r="572" spans="10:10" x14ac:dyDescent="0.25">
      <c r="J572"/>
    </row>
    <row r="573" spans="10:10" x14ac:dyDescent="0.25">
      <c r="J573"/>
    </row>
    <row r="574" spans="10:10" x14ac:dyDescent="0.25">
      <c r="J574"/>
    </row>
    <row r="575" spans="10:10" x14ac:dyDescent="0.25">
      <c r="J575"/>
    </row>
    <row r="576" spans="10:10" x14ac:dyDescent="0.25">
      <c r="J576"/>
    </row>
    <row r="577" spans="10:10" x14ac:dyDescent="0.25">
      <c r="J577"/>
    </row>
    <row r="578" spans="10:10" x14ac:dyDescent="0.25">
      <c r="J578"/>
    </row>
    <row r="579" spans="10:10" x14ac:dyDescent="0.25">
      <c r="J579"/>
    </row>
    <row r="580" spans="10:10" x14ac:dyDescent="0.25">
      <c r="J580"/>
    </row>
    <row r="581" spans="10:10" x14ac:dyDescent="0.25">
      <c r="J581"/>
    </row>
    <row r="582" spans="10:10" x14ac:dyDescent="0.25">
      <c r="J582"/>
    </row>
    <row r="583" spans="10:10" x14ac:dyDescent="0.25">
      <c r="J583"/>
    </row>
    <row r="584" spans="10:10" x14ac:dyDescent="0.25">
      <c r="J584"/>
    </row>
    <row r="585" spans="10:10" x14ac:dyDescent="0.25">
      <c r="J585"/>
    </row>
    <row r="586" spans="10:10" x14ac:dyDescent="0.25">
      <c r="J586"/>
    </row>
    <row r="587" spans="10:10" x14ac:dyDescent="0.25">
      <c r="J587"/>
    </row>
    <row r="588" spans="10:10" x14ac:dyDescent="0.25">
      <c r="J588"/>
    </row>
    <row r="589" spans="10:10" x14ac:dyDescent="0.25">
      <c r="J589"/>
    </row>
    <row r="590" spans="10:10" x14ac:dyDescent="0.25">
      <c r="J590"/>
    </row>
    <row r="591" spans="10:10" x14ac:dyDescent="0.25">
      <c r="J591"/>
    </row>
    <row r="592" spans="10:10" x14ac:dyDescent="0.25">
      <c r="J592"/>
    </row>
    <row r="593" spans="10:10" x14ac:dyDescent="0.25">
      <c r="J593"/>
    </row>
    <row r="594" spans="10:10" x14ac:dyDescent="0.25">
      <c r="J594"/>
    </row>
    <row r="595" spans="10:10" x14ac:dyDescent="0.25">
      <c r="J595"/>
    </row>
    <row r="596" spans="10:10" x14ac:dyDescent="0.25">
      <c r="J596"/>
    </row>
    <row r="597" spans="10:10" x14ac:dyDescent="0.25">
      <c r="J597"/>
    </row>
    <row r="598" spans="10:10" x14ac:dyDescent="0.25">
      <c r="J598"/>
    </row>
    <row r="599" spans="10:10" x14ac:dyDescent="0.25">
      <c r="J599"/>
    </row>
    <row r="600" spans="10:10" x14ac:dyDescent="0.25">
      <c r="J600"/>
    </row>
    <row r="601" spans="10:10" x14ac:dyDescent="0.25">
      <c r="J601"/>
    </row>
    <row r="602" spans="10:10" x14ac:dyDescent="0.25">
      <c r="J602"/>
    </row>
    <row r="603" spans="10:10" x14ac:dyDescent="0.25">
      <c r="J603"/>
    </row>
    <row r="604" spans="10:10" x14ac:dyDescent="0.25">
      <c r="J604"/>
    </row>
    <row r="605" spans="10:10" x14ac:dyDescent="0.25">
      <c r="J605"/>
    </row>
    <row r="606" spans="10:10" x14ac:dyDescent="0.25">
      <c r="J606"/>
    </row>
    <row r="607" spans="10:10" x14ac:dyDescent="0.25">
      <c r="J607"/>
    </row>
    <row r="608" spans="10:10" x14ac:dyDescent="0.25">
      <c r="J608"/>
    </row>
    <row r="609" spans="10:10" x14ac:dyDescent="0.25">
      <c r="J609"/>
    </row>
    <row r="610" spans="10:10" x14ac:dyDescent="0.25">
      <c r="J610"/>
    </row>
    <row r="611" spans="10:10" x14ac:dyDescent="0.25">
      <c r="J611"/>
    </row>
    <row r="612" spans="10:10" x14ac:dyDescent="0.25">
      <c r="J612"/>
    </row>
    <row r="613" spans="10:10" x14ac:dyDescent="0.25">
      <c r="J613"/>
    </row>
    <row r="614" spans="10:10" x14ac:dyDescent="0.25">
      <c r="J614"/>
    </row>
    <row r="615" spans="10:10" x14ac:dyDescent="0.25">
      <c r="J615"/>
    </row>
    <row r="616" spans="10:10" x14ac:dyDescent="0.25">
      <c r="J616"/>
    </row>
    <row r="617" spans="10:10" x14ac:dyDescent="0.25">
      <c r="J617"/>
    </row>
    <row r="618" spans="10:10" x14ac:dyDescent="0.25">
      <c r="J618"/>
    </row>
    <row r="619" spans="10:10" x14ac:dyDescent="0.25">
      <c r="J619"/>
    </row>
    <row r="620" spans="10:10" x14ac:dyDescent="0.25">
      <c r="J620"/>
    </row>
    <row r="621" spans="10:10" x14ac:dyDescent="0.25">
      <c r="J621"/>
    </row>
    <row r="622" spans="10:10" x14ac:dyDescent="0.25">
      <c r="J622"/>
    </row>
    <row r="623" spans="10:10" x14ac:dyDescent="0.25">
      <c r="J623"/>
    </row>
    <row r="624" spans="10:10" x14ac:dyDescent="0.25">
      <c r="J624"/>
    </row>
    <row r="625" spans="10:10" x14ac:dyDescent="0.25">
      <c r="J625"/>
    </row>
    <row r="626" spans="10:10" x14ac:dyDescent="0.25">
      <c r="J626"/>
    </row>
    <row r="627" spans="10:10" x14ac:dyDescent="0.25">
      <c r="J627"/>
    </row>
    <row r="628" spans="10:10" x14ac:dyDescent="0.25">
      <c r="J628"/>
    </row>
    <row r="629" spans="10:10" x14ac:dyDescent="0.25">
      <c r="J629"/>
    </row>
    <row r="630" spans="10:10" x14ac:dyDescent="0.25">
      <c r="J630"/>
    </row>
    <row r="631" spans="10:10" x14ac:dyDescent="0.25">
      <c r="J631"/>
    </row>
    <row r="632" spans="10:10" x14ac:dyDescent="0.25">
      <c r="J632"/>
    </row>
    <row r="633" spans="10:10" x14ac:dyDescent="0.25">
      <c r="J633"/>
    </row>
    <row r="634" spans="10:10" x14ac:dyDescent="0.25">
      <c r="J634"/>
    </row>
    <row r="635" spans="10:10" x14ac:dyDescent="0.25">
      <c r="J635"/>
    </row>
    <row r="636" spans="10:10" x14ac:dyDescent="0.25">
      <c r="J636"/>
    </row>
    <row r="637" spans="10:10" x14ac:dyDescent="0.25">
      <c r="J637"/>
    </row>
    <row r="638" spans="10:10" x14ac:dyDescent="0.25">
      <c r="J638"/>
    </row>
    <row r="639" spans="10:10" x14ac:dyDescent="0.25">
      <c r="J639"/>
    </row>
    <row r="640" spans="10:10" x14ac:dyDescent="0.25">
      <c r="J640"/>
    </row>
    <row r="641" spans="10:10" x14ac:dyDescent="0.25">
      <c r="J641"/>
    </row>
    <row r="642" spans="10:10" x14ac:dyDescent="0.25">
      <c r="J642"/>
    </row>
    <row r="643" spans="10:10" x14ac:dyDescent="0.25">
      <c r="J643"/>
    </row>
    <row r="644" spans="10:10" x14ac:dyDescent="0.25">
      <c r="J644"/>
    </row>
    <row r="645" spans="10:10" x14ac:dyDescent="0.25">
      <c r="J645"/>
    </row>
    <row r="646" spans="10:10" x14ac:dyDescent="0.25">
      <c r="J646"/>
    </row>
    <row r="647" spans="10:10" x14ac:dyDescent="0.25">
      <c r="J647"/>
    </row>
    <row r="648" spans="10:10" x14ac:dyDescent="0.25">
      <c r="J648"/>
    </row>
    <row r="649" spans="10:10" x14ac:dyDescent="0.25">
      <c r="J649"/>
    </row>
    <row r="650" spans="10:10" x14ac:dyDescent="0.25">
      <c r="J650"/>
    </row>
    <row r="651" spans="10:10" x14ac:dyDescent="0.25">
      <c r="J651"/>
    </row>
    <row r="652" spans="10:10" x14ac:dyDescent="0.25">
      <c r="J652"/>
    </row>
    <row r="653" spans="10:10" x14ac:dyDescent="0.25">
      <c r="J653"/>
    </row>
    <row r="654" spans="10:10" x14ac:dyDescent="0.25">
      <c r="J654"/>
    </row>
    <row r="655" spans="10:10" x14ac:dyDescent="0.25">
      <c r="J655"/>
    </row>
    <row r="656" spans="10:10" x14ac:dyDescent="0.25">
      <c r="J656"/>
    </row>
    <row r="657" spans="10:10" x14ac:dyDescent="0.25">
      <c r="J657"/>
    </row>
    <row r="658" spans="10:10" x14ac:dyDescent="0.25">
      <c r="J658"/>
    </row>
    <row r="659" spans="10:10" x14ac:dyDescent="0.25">
      <c r="J659"/>
    </row>
    <row r="660" spans="10:10" x14ac:dyDescent="0.25">
      <c r="J660"/>
    </row>
    <row r="661" spans="10:10" x14ac:dyDescent="0.25">
      <c r="J661"/>
    </row>
    <row r="662" spans="10:10" x14ac:dyDescent="0.25">
      <c r="J662"/>
    </row>
    <row r="663" spans="10:10" x14ac:dyDescent="0.25">
      <c r="J663"/>
    </row>
    <row r="664" spans="10:10" x14ac:dyDescent="0.25">
      <c r="J664"/>
    </row>
    <row r="665" spans="10:10" x14ac:dyDescent="0.25">
      <c r="J665"/>
    </row>
    <row r="666" spans="10:10" x14ac:dyDescent="0.25">
      <c r="J666"/>
    </row>
    <row r="667" spans="10:10" x14ac:dyDescent="0.25">
      <c r="J667"/>
    </row>
    <row r="668" spans="10:10" x14ac:dyDescent="0.25">
      <c r="J668"/>
    </row>
    <row r="669" spans="10:10" x14ac:dyDescent="0.25">
      <c r="J669"/>
    </row>
  </sheetData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V27"/>
  <sheetViews>
    <sheetView showGridLines="0" zoomScale="85" zoomScaleNormal="85" workbookViewId="0">
      <selection activeCell="J12" sqref="J12"/>
    </sheetView>
  </sheetViews>
  <sheetFormatPr defaultRowHeight="15" x14ac:dyDescent="0.25"/>
  <cols>
    <col min="4" max="4" width="15.42578125" bestFit="1" customWidth="1"/>
  </cols>
  <sheetData>
    <row r="1" spans="4:22" x14ac:dyDescent="0.25"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9"/>
    </row>
    <row r="2" spans="4:22" ht="26.25" x14ac:dyDescent="0.4">
      <c r="D2" s="20"/>
      <c r="E2" s="5"/>
      <c r="F2" s="5"/>
      <c r="G2" s="5" t="s">
        <v>991</v>
      </c>
      <c r="H2" s="25"/>
      <c r="I2" s="26"/>
      <c r="J2" s="27"/>
      <c r="K2" s="28" t="s">
        <v>990</v>
      </c>
      <c r="L2" s="29"/>
      <c r="M2" s="29"/>
      <c r="N2" s="29"/>
      <c r="O2" s="5"/>
      <c r="P2" s="5"/>
      <c r="Q2" s="5"/>
      <c r="R2" s="5"/>
      <c r="S2" s="5"/>
      <c r="T2" s="5"/>
      <c r="U2" s="5"/>
      <c r="V2" s="21"/>
    </row>
    <row r="3" spans="4:22" x14ac:dyDescent="0.25">
      <c r="D3" s="2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3"/>
    </row>
    <row r="4" spans="4:22" x14ac:dyDescent="0.25"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4:22" ht="26.25" x14ac:dyDescent="0.4">
      <c r="D5" s="30" t="s">
        <v>992</v>
      </c>
      <c r="E5" s="29" t="s">
        <v>995</v>
      </c>
      <c r="F5" s="5"/>
      <c r="G5" s="5"/>
      <c r="H5" s="5"/>
      <c r="I5" s="5"/>
      <c r="J5" s="29" t="s">
        <v>993</v>
      </c>
      <c r="K5" s="5"/>
      <c r="L5" s="5"/>
      <c r="M5" s="5"/>
      <c r="N5" s="5"/>
      <c r="O5" s="5"/>
      <c r="P5" s="5"/>
      <c r="Q5" s="5"/>
      <c r="R5" s="29" t="s">
        <v>994</v>
      </c>
      <c r="S5" s="29"/>
      <c r="T5" s="29"/>
      <c r="U5" s="5"/>
      <c r="V5" s="21"/>
    </row>
    <row r="6" spans="4:22" x14ac:dyDescent="0.25">
      <c r="D6" s="31">
        <v>2454139.46</v>
      </c>
      <c r="E6" s="5"/>
      <c r="F6" s="5"/>
      <c r="G6" s="5"/>
      <c r="H6" s="5"/>
      <c r="I6" s="5"/>
      <c r="J6" s="3"/>
      <c r="K6" s="3">
        <v>385169.84000000008</v>
      </c>
      <c r="L6" s="5"/>
      <c r="M6" s="5"/>
      <c r="N6" s="5"/>
      <c r="O6" s="5"/>
      <c r="P6" s="5"/>
      <c r="Q6" s="5"/>
      <c r="R6" s="5"/>
      <c r="S6" s="3">
        <v>4499</v>
      </c>
      <c r="T6" s="5"/>
      <c r="U6" s="5"/>
      <c r="V6" s="21"/>
    </row>
    <row r="7" spans="4:22" x14ac:dyDescent="0.25">
      <c r="D7" s="2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21"/>
    </row>
    <row r="8" spans="4:22" x14ac:dyDescent="0.25">
      <c r="D8" s="2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21"/>
    </row>
    <row r="9" spans="4:22" x14ac:dyDescent="0.25"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21"/>
    </row>
    <row r="10" spans="4:22" x14ac:dyDescent="0.25">
      <c r="D10" s="2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21"/>
    </row>
    <row r="11" spans="4:22" x14ac:dyDescent="0.25">
      <c r="D11" s="2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21"/>
    </row>
    <row r="12" spans="4:22" x14ac:dyDescent="0.25">
      <c r="D12" s="2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21"/>
    </row>
    <row r="13" spans="4:22" x14ac:dyDescent="0.25">
      <c r="D13" s="2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21"/>
    </row>
    <row r="14" spans="4:22" x14ac:dyDescent="0.25">
      <c r="D14" s="20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21"/>
    </row>
    <row r="15" spans="4:22" x14ac:dyDescent="0.25">
      <c r="D15" s="2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21"/>
    </row>
    <row r="16" spans="4:22" x14ac:dyDescent="0.25">
      <c r="D16" s="2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21"/>
    </row>
    <row r="17" spans="4:22" x14ac:dyDescent="0.25">
      <c r="D17" s="2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21"/>
    </row>
    <row r="18" spans="4:22" x14ac:dyDescent="0.25">
      <c r="D18" s="2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21"/>
    </row>
    <row r="19" spans="4:22" x14ac:dyDescent="0.25">
      <c r="D19" s="2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21"/>
    </row>
    <row r="20" spans="4:22" x14ac:dyDescent="0.25">
      <c r="D20" s="20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21"/>
    </row>
    <row r="21" spans="4:22" x14ac:dyDescent="0.25">
      <c r="D21" s="2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21"/>
    </row>
    <row r="22" spans="4:22" x14ac:dyDescent="0.25">
      <c r="D22" s="2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21"/>
    </row>
    <row r="23" spans="4:22" x14ac:dyDescent="0.25">
      <c r="D23" s="20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21"/>
    </row>
    <row r="24" spans="4:22" x14ac:dyDescent="0.25">
      <c r="D24" s="20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21"/>
    </row>
    <row r="25" spans="4:22" x14ac:dyDescent="0.25">
      <c r="D25" s="2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21"/>
    </row>
    <row r="26" spans="4:22" x14ac:dyDescent="0.25">
      <c r="D26" s="2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3"/>
    </row>
    <row r="27" spans="4:22" x14ac:dyDescent="0.25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showGridLines="0" tabSelected="1" zoomScaleNormal="100" workbookViewId="0">
      <selection activeCell="I29" sqref="I29"/>
    </sheetView>
  </sheetViews>
  <sheetFormatPr defaultRowHeight="15" x14ac:dyDescent="0.25"/>
  <sheetData>
    <row r="1" spans="1:22" x14ac:dyDescent="0.25"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22" s="18" customFormat="1" ht="25.5" customHeight="1" x14ac:dyDescent="0.25">
      <c r="A2" s="5"/>
      <c r="B2" s="34" t="s">
        <v>996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6"/>
      <c r="S2" s="5"/>
      <c r="T2" s="5"/>
      <c r="U2" s="5"/>
      <c r="V2" s="5"/>
    </row>
    <row r="3" spans="1:22" s="6" customFormat="1" x14ac:dyDescent="0.25">
      <c r="A3" s="5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9"/>
      <c r="S3" s="5"/>
      <c r="T3" s="5"/>
      <c r="U3" s="5"/>
      <c r="V3" s="5"/>
    </row>
    <row r="4" spans="1:22" x14ac:dyDescent="0.25">
      <c r="B4" s="10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 spans="1:22" x14ac:dyDescent="0.25">
      <c r="B5" s="1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1"/>
    </row>
    <row r="6" spans="1:22" x14ac:dyDescent="0.25"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1"/>
    </row>
    <row r="7" spans="1:22" x14ac:dyDescent="0.25">
      <c r="B7" s="1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1"/>
    </row>
    <row r="8" spans="1:22" x14ac:dyDescent="0.25">
      <c r="B8" s="10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1"/>
    </row>
    <row r="9" spans="1:22" x14ac:dyDescent="0.25">
      <c r="B9" s="10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1"/>
    </row>
    <row r="10" spans="1:22" x14ac:dyDescent="0.25">
      <c r="B10" s="1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1"/>
    </row>
    <row r="11" spans="1:22" x14ac:dyDescent="0.25">
      <c r="B11" s="10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1"/>
    </row>
    <row r="12" spans="1:22" x14ac:dyDescent="0.25">
      <c r="B12" s="10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1"/>
    </row>
    <row r="13" spans="1:22" ht="26.25" x14ac:dyDescent="0.4">
      <c r="B13" s="10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2"/>
      <c r="P13" s="32"/>
      <c r="Q13" s="32"/>
      <c r="R13" s="11"/>
    </row>
    <row r="14" spans="1:22" x14ac:dyDescent="0.25">
      <c r="B14" s="10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24"/>
      <c r="P14" s="33"/>
      <c r="Q14" s="24"/>
      <c r="R14" s="11"/>
    </row>
    <row r="15" spans="1:22" x14ac:dyDescent="0.25">
      <c r="B15" s="10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1"/>
    </row>
    <row r="16" spans="1:22" x14ac:dyDescent="0.25">
      <c r="B16" s="10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1"/>
    </row>
    <row r="17" spans="2:18" x14ac:dyDescent="0.25">
      <c r="B17" s="10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1"/>
    </row>
    <row r="18" spans="2:18" x14ac:dyDescent="0.25">
      <c r="B18" s="10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1"/>
    </row>
    <row r="19" spans="2:18" x14ac:dyDescent="0.25"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1"/>
    </row>
    <row r="20" spans="2:18" x14ac:dyDescent="0.25"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1"/>
    </row>
    <row r="21" spans="2:18" x14ac:dyDescent="0.25">
      <c r="B21" s="1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1"/>
    </row>
    <row r="22" spans="2:18" x14ac:dyDescent="0.25">
      <c r="B22" s="10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1"/>
    </row>
    <row r="23" spans="2:18" x14ac:dyDescent="0.25">
      <c r="B23" s="10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1"/>
    </row>
    <row r="24" spans="2:18" x14ac:dyDescent="0.25">
      <c r="B24" s="10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1"/>
    </row>
    <row r="25" spans="2:18" ht="15.75" thickBot="1" x14ac:dyDescent="0.3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/>
    </row>
  </sheetData>
  <mergeCells count="1">
    <mergeCell ref="B2:R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:G23"/>
  <sheetViews>
    <sheetView showGridLines="0" workbookViewId="0">
      <selection activeCell="L3" sqref="L3"/>
    </sheetView>
  </sheetViews>
  <sheetFormatPr defaultRowHeight="15" x14ac:dyDescent="0.25"/>
  <sheetData>
    <row r="2" spans="7:7" x14ac:dyDescent="0.25">
      <c r="G2" t="s">
        <v>997</v>
      </c>
    </row>
    <row r="3" spans="7:7" x14ac:dyDescent="0.25">
      <c r="G3" t="s">
        <v>998</v>
      </c>
    </row>
    <row r="4" spans="7:7" x14ac:dyDescent="0.25">
      <c r="G4" t="s">
        <v>999</v>
      </c>
    </row>
    <row r="6" spans="7:7" x14ac:dyDescent="0.25">
      <c r="G6" t="s">
        <v>1000</v>
      </c>
    </row>
    <row r="7" spans="7:7" x14ac:dyDescent="0.25">
      <c r="G7" t="s">
        <v>1001</v>
      </c>
    </row>
    <row r="8" spans="7:7" x14ac:dyDescent="0.25">
      <c r="G8" t="s">
        <v>1002</v>
      </c>
    </row>
    <row r="9" spans="7:7" x14ac:dyDescent="0.25">
      <c r="G9" t="s">
        <v>1003</v>
      </c>
    </row>
    <row r="11" spans="7:7" x14ac:dyDescent="0.25">
      <c r="G11" t="s">
        <v>1004</v>
      </c>
    </row>
    <row r="12" spans="7:7" x14ac:dyDescent="0.25">
      <c r="G12" t="s">
        <v>1005</v>
      </c>
    </row>
    <row r="13" spans="7:7" x14ac:dyDescent="0.25">
      <c r="G13" t="s">
        <v>1006</v>
      </c>
    </row>
    <row r="15" spans="7:7" x14ac:dyDescent="0.25">
      <c r="G15" t="s">
        <v>997</v>
      </c>
    </row>
    <row r="16" spans="7:7" x14ac:dyDescent="0.25">
      <c r="G16" t="s">
        <v>1007</v>
      </c>
    </row>
    <row r="17" spans="7:7" x14ac:dyDescent="0.25">
      <c r="G17" t="s">
        <v>1008</v>
      </c>
    </row>
    <row r="19" spans="7:7" x14ac:dyDescent="0.25">
      <c r="G19" t="s">
        <v>1004</v>
      </c>
    </row>
    <row r="20" spans="7:7" x14ac:dyDescent="0.25">
      <c r="G20" t="s">
        <v>1009</v>
      </c>
    </row>
    <row r="21" spans="7:7" x14ac:dyDescent="0.25">
      <c r="G21" t="s">
        <v>1006</v>
      </c>
    </row>
    <row r="23" spans="7:7" x14ac:dyDescent="0.25">
      <c r="G23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Pivot Tables</vt:lpstr>
      <vt:lpstr>Dashboard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2026-07-16T11:48:53Z</dcterms:created>
  <dcterms:modified xsi:type="dcterms:W3CDTF">2026-10-05T06:30:50Z</dcterms:modified>
</cp:coreProperties>
</file>